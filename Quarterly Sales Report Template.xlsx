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esktop\Excel\"/>
    </mc:Choice>
  </mc:AlternateContent>
  <xr:revisionPtr revIDLastSave="0" documentId="13_ncr:1_{ADF6795C-39A6-4A4C-9F10-73C191FB4C5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ATA" sheetId="1" r:id="rId1"/>
    <sheet name="DASHBOAR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4+ijccjK6hK/HNRsWTB4dRSvfcQkQss6IjKBN0Cxwrg="/>
    </ext>
  </extLst>
</workbook>
</file>

<file path=xl/calcChain.xml><?xml version="1.0" encoding="utf-8"?>
<calcChain xmlns="http://schemas.openxmlformats.org/spreadsheetml/2006/main">
  <c r="AR66" i="1" l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D16" i="1" s="1"/>
  <c r="E5" i="1"/>
  <c r="C7" i="1" s="1" a="1"/>
  <c r="C7" i="1" s="1"/>
  <c r="D18" i="1" l="1"/>
  <c r="D17" i="1"/>
  <c r="D19" i="1" s="1"/>
  <c r="AP10" i="1" a="1"/>
  <c r="AP10" i="1" s="1"/>
  <c r="AP11" i="1" a="1"/>
  <c r="AP11" i="1" s="1"/>
  <c r="AR12" i="1" a="1"/>
  <c r="AR12" i="1" s="1"/>
  <c r="AR13" i="1" a="1"/>
  <c r="AR13" i="1" s="1"/>
  <c r="AP9" i="1" a="1"/>
  <c r="AP9" i="1" s="1"/>
  <c r="AO10" i="1" a="1"/>
  <c r="AO10" i="1" s="1"/>
  <c r="AO11" i="1" a="1"/>
  <c r="AO11" i="1" s="1"/>
  <c r="AN13" i="1" a="1"/>
  <c r="AN13" i="1" s="1"/>
  <c r="AN14" i="1" a="1"/>
  <c r="AN14" i="1" s="1"/>
  <c r="AO9" i="1" a="1"/>
  <c r="AO9" i="1" s="1"/>
  <c r="AK10" i="1" a="1"/>
  <c r="AK10" i="1" s="1"/>
  <c r="AJ11" i="1" a="1"/>
  <c r="AJ11" i="1" s="1"/>
  <c r="AL11" i="1" a="1"/>
  <c r="AL11" i="1" s="1"/>
  <c r="AK12" i="1" a="1"/>
  <c r="AK12" i="1" s="1"/>
  <c r="AJ13" i="1" a="1"/>
  <c r="AJ13" i="1" s="1"/>
  <c r="AL13" i="1" a="1"/>
  <c r="AL13" i="1" s="1"/>
  <c r="AK14" i="1" a="1"/>
  <c r="AK14" i="1" s="1"/>
  <c r="AK9" i="1" a="1"/>
  <c r="AK9" i="1" s="1"/>
  <c r="AH10" i="1" a="1"/>
  <c r="AH10" i="1" s="1"/>
  <c r="AG12" i="1" a="1"/>
  <c r="AG12" i="1" s="1"/>
  <c r="AG13" i="1" a="1"/>
  <c r="AG13" i="1" s="1"/>
  <c r="AI14" i="1" a="1"/>
  <c r="AI14" i="1" s="1"/>
  <c r="AD10" i="1" a="1"/>
  <c r="AD10" i="1" s="1"/>
  <c r="AD11" i="1" a="1"/>
  <c r="AD11" i="1" s="1"/>
  <c r="AF12" i="1" a="1"/>
  <c r="AF12" i="1" s="1"/>
  <c r="AF13" i="1" a="1"/>
  <c r="AF13" i="1" s="1"/>
  <c r="AD9" i="1" a="1"/>
  <c r="AD9" i="1" s="1"/>
  <c r="AC10" i="1" a="1"/>
  <c r="AC10" i="1" s="1"/>
  <c r="AC11" i="1" a="1"/>
  <c r="AC11" i="1" s="1"/>
  <c r="AC13" i="1" a="1"/>
  <c r="AC13" i="1" s="1"/>
  <c r="AA9" i="1" a="1"/>
  <c r="AA9" i="1" s="1"/>
  <c r="Z10" i="1" a="1"/>
  <c r="Z10" i="1" s="1"/>
  <c r="Z11" i="1" a="1"/>
  <c r="Z11" i="1" s="1"/>
  <c r="Y13" i="1" a="1"/>
  <c r="Y13" i="1" s="1"/>
  <c r="Y14" i="1" a="1"/>
  <c r="Y14" i="1" s="1"/>
  <c r="Z9" i="1" a="1"/>
  <c r="Z9" i="1" s="1"/>
  <c r="V11" i="1" a="1"/>
  <c r="V11" i="1" s="1"/>
  <c r="V12" i="1" a="1"/>
  <c r="V12" i="1" s="1"/>
  <c r="U14" i="1" a="1"/>
  <c r="U14" i="1" s="1"/>
  <c r="W9" i="1" a="1"/>
  <c r="W9" i="1" s="1"/>
  <c r="S10" i="1" a="1"/>
  <c r="S10" i="1" s="1"/>
  <c r="P11" i="1" a="1"/>
  <c r="P11" i="1" s="1"/>
  <c r="O12" i="1" a="1"/>
  <c r="O12" i="1" s="1"/>
  <c r="R12" i="1" a="1"/>
  <c r="R12" i="1" s="1"/>
  <c r="Q13" i="1" a="1"/>
  <c r="Q13" i="1" s="1"/>
  <c r="T13" i="1" a="1"/>
  <c r="T13" i="1" s="1"/>
  <c r="S14" i="1" a="1"/>
  <c r="S14" i="1" s="1"/>
  <c r="P9" i="1" a="1"/>
  <c r="P9" i="1" s="1"/>
  <c r="L10" i="1" a="1"/>
  <c r="L10" i="1" s="1"/>
  <c r="L11" i="1" a="1"/>
  <c r="L11" i="1" s="1"/>
  <c r="N12" i="1" a="1"/>
  <c r="N12" i="1" s="1"/>
  <c r="N13" i="1" a="1"/>
  <c r="N13" i="1" s="1"/>
  <c r="N14" i="1" a="1"/>
  <c r="N14" i="1" s="1"/>
  <c r="F10" i="1" a="1"/>
  <c r="F10" i="1" s="1"/>
  <c r="I10" i="1" a="1"/>
  <c r="I10" i="1" s="1"/>
  <c r="H11" i="1" a="1"/>
  <c r="H11" i="1" s="1"/>
  <c r="K11" i="1" a="1"/>
  <c r="K11" i="1" s="1"/>
  <c r="J12" i="1" a="1"/>
  <c r="J12" i="1" s="1"/>
  <c r="G13" i="1" a="1"/>
  <c r="G13" i="1" s="1"/>
  <c r="F14" i="1" a="1"/>
  <c r="F14" i="1" s="1"/>
  <c r="I14" i="1" a="1"/>
  <c r="I14" i="1" s="1"/>
  <c r="I9" i="1" a="1"/>
  <c r="I9" i="1" s="1"/>
  <c r="E10" i="1" a="1"/>
  <c r="E10" i="1" s="1"/>
  <c r="D10" i="1" a="1"/>
  <c r="D10" i="1" s="1"/>
  <c r="AQ10" i="1" a="1"/>
  <c r="AQ10" i="1" s="1"/>
  <c r="AQ11" i="1" a="1"/>
  <c r="AQ11" i="1" s="1"/>
  <c r="AQ9" i="1" a="1"/>
  <c r="AQ9" i="1" s="1"/>
  <c r="AM13" i="1" a="1"/>
  <c r="AM13" i="1" s="1"/>
  <c r="AM14" i="1" a="1"/>
  <c r="AM14" i="1" s="1"/>
  <c r="AM9" i="1" a="1"/>
  <c r="AM9" i="1" s="1"/>
  <c r="AL10" i="1" a="1"/>
  <c r="AL10" i="1" s="1"/>
  <c r="AK13" i="1" a="1"/>
  <c r="AK13" i="1" s="1"/>
  <c r="AL9" i="1" a="1"/>
  <c r="AL9" i="1" s="1"/>
  <c r="AI10" i="1" a="1"/>
  <c r="AI10" i="1" s="1"/>
  <c r="AH14" i="1" a="1"/>
  <c r="AH14" i="1" s="1"/>
  <c r="AG9" i="1" a="1"/>
  <c r="AG9" i="1" s="1"/>
  <c r="AE12" i="1" a="1"/>
  <c r="AE12" i="1" s="1"/>
  <c r="AE13" i="1" a="1"/>
  <c r="AE13" i="1" s="1"/>
  <c r="AF14" i="1" a="1"/>
  <c r="AF14" i="1" s="1"/>
  <c r="AB10" i="1" a="1"/>
  <c r="AB10" i="1" s="1"/>
  <c r="AB11" i="1" a="1"/>
  <c r="AB11" i="1" s="1"/>
  <c r="AC12" i="1" a="1"/>
  <c r="AC12" i="1" s="1"/>
  <c r="AA14" i="1" a="1"/>
  <c r="AA14" i="1" s="1"/>
  <c r="AC9" i="1" a="1"/>
  <c r="AC9" i="1" s="1"/>
  <c r="X11" i="1" a="1"/>
  <c r="X11" i="1" s="1"/>
  <c r="X12" i="1" a="1"/>
  <c r="X12" i="1" s="1"/>
  <c r="U10" i="1" a="1"/>
  <c r="U10" i="1" s="1"/>
  <c r="W13" i="1" a="1"/>
  <c r="W13" i="1" s="1"/>
  <c r="V9" i="1" a="1"/>
  <c r="V9" i="1" s="1"/>
  <c r="Q10" i="1" a="1"/>
  <c r="Q10" i="1" s="1"/>
  <c r="R11" i="1" a="1"/>
  <c r="R11" i="1" s="1"/>
  <c r="P12" i="1" a="1"/>
  <c r="P12" i="1" s="1"/>
  <c r="S12" i="1" a="1"/>
  <c r="S12" i="1" s="1"/>
  <c r="R14" i="1" a="1"/>
  <c r="R14" i="1" s="1"/>
  <c r="T9" i="1" a="1"/>
  <c r="T9" i="1" s="1"/>
  <c r="M10" i="1" a="1"/>
  <c r="M10" i="1" s="1"/>
  <c r="M11" i="1" a="1"/>
  <c r="M11" i="1" s="1"/>
  <c r="N9" i="1" a="1"/>
  <c r="N9" i="1" s="1"/>
  <c r="H10" i="1" a="1"/>
  <c r="H10" i="1" s="1"/>
  <c r="F11" i="1" a="1"/>
  <c r="F11" i="1" s="1"/>
  <c r="G12" i="1" a="1"/>
  <c r="G12" i="1" s="1"/>
  <c r="K12" i="1" a="1"/>
  <c r="K12" i="1" s="1"/>
  <c r="H13" i="1" a="1"/>
  <c r="H13" i="1" s="1"/>
  <c r="G9" i="1" a="1"/>
  <c r="G9" i="1" s="1"/>
  <c r="E14" i="1" a="1"/>
  <c r="E14" i="1" s="1"/>
  <c r="D11" i="1" a="1"/>
  <c r="D11" i="1" s="1"/>
  <c r="D14" i="1" a="1"/>
  <c r="D14" i="1" s="1"/>
  <c r="C11" i="1" a="1"/>
  <c r="C11" i="1" s="1"/>
  <c r="C9" i="1" a="1"/>
  <c r="C9" i="1" s="1"/>
  <c r="AR11" i="1" a="1"/>
  <c r="AR11" i="1" s="1"/>
  <c r="AP13" i="1" a="1"/>
  <c r="AP13" i="1" s="1"/>
  <c r="AP14" i="1" a="1"/>
  <c r="AP14" i="1" s="1"/>
  <c r="AR9" i="1" a="1"/>
  <c r="AR9" i="1" s="1"/>
  <c r="AM11" i="1" a="1"/>
  <c r="AM11" i="1" s="1"/>
  <c r="AM12" i="1" a="1"/>
  <c r="AM12" i="1" s="1"/>
  <c r="AJ10" i="1" a="1"/>
  <c r="AJ10" i="1" s="1"/>
  <c r="AL12" i="1" a="1"/>
  <c r="AL12" i="1" s="1"/>
  <c r="AJ9" i="1" a="1"/>
  <c r="AJ9" i="1" s="1"/>
  <c r="AG11" i="1" a="1"/>
  <c r="AG11" i="1" s="1"/>
  <c r="AH12" i="1" a="1"/>
  <c r="AH12" i="1" s="1"/>
  <c r="AH13" i="1" a="1"/>
  <c r="AH13" i="1" s="1"/>
  <c r="AE10" i="1" a="1"/>
  <c r="AE10" i="1" s="1"/>
  <c r="AE11" i="1" a="1"/>
  <c r="AE11" i="1" s="1"/>
  <c r="AE9" i="1" a="1"/>
  <c r="AE9" i="1" s="1"/>
  <c r="AA13" i="1" a="1"/>
  <c r="AA13" i="1" s="1"/>
  <c r="AB14" i="1" a="1"/>
  <c r="AB14" i="1" s="1"/>
  <c r="X10" i="1" a="1"/>
  <c r="X10" i="1" s="1"/>
  <c r="Y12" i="1" a="1"/>
  <c r="Y12" i="1" s="1"/>
  <c r="Z13" i="1" a="1"/>
  <c r="Z13" i="1" s="1"/>
  <c r="Z14" i="1" a="1"/>
  <c r="Z14" i="1" s="1"/>
  <c r="V10" i="1" a="1"/>
  <c r="V10" i="1" s="1"/>
  <c r="W11" i="1" a="1"/>
  <c r="W11" i="1" s="1"/>
  <c r="W12" i="1" a="1"/>
  <c r="W12" i="1" s="1"/>
  <c r="U9" i="1" a="1"/>
  <c r="U9" i="1" s="1"/>
  <c r="R10" i="1" a="1"/>
  <c r="R10" i="1" s="1"/>
  <c r="O11" i="1" a="1"/>
  <c r="O11" i="1" s="1"/>
  <c r="S11" i="1" a="1"/>
  <c r="S11" i="1" s="1"/>
  <c r="T12" i="1" a="1"/>
  <c r="T12" i="1" s="1"/>
  <c r="R13" i="1" a="1"/>
  <c r="R13" i="1" s="1"/>
  <c r="O14" i="1" a="1"/>
  <c r="O14" i="1" s="1"/>
  <c r="Q9" i="1" a="1"/>
  <c r="Q9" i="1" s="1"/>
  <c r="N11" i="1" a="1"/>
  <c r="N11" i="1" s="1"/>
  <c r="L13" i="1" a="1"/>
  <c r="L13" i="1" s="1"/>
  <c r="L14" i="1" a="1"/>
  <c r="L14" i="1" s="1"/>
  <c r="L9" i="1" a="1"/>
  <c r="L9" i="1" s="1"/>
  <c r="G11" i="1" a="1"/>
  <c r="G11" i="1" s="1"/>
  <c r="J11" i="1" a="1"/>
  <c r="J11" i="1" s="1"/>
  <c r="H12" i="1" a="1"/>
  <c r="H12" i="1" s="1"/>
  <c r="I13" i="1" a="1"/>
  <c r="I13" i="1" s="1"/>
  <c r="G14" i="1" a="1"/>
  <c r="G14" i="1" s="1"/>
  <c r="J14" i="1" a="1"/>
  <c r="J14" i="1" s="1"/>
  <c r="H9" i="1" a="1"/>
  <c r="H9" i="1" s="1"/>
  <c r="E11" i="1" a="1"/>
  <c r="E11" i="1" s="1"/>
  <c r="D9" i="1" a="1"/>
  <c r="D9" i="1" s="1"/>
  <c r="C12" i="1" a="1"/>
  <c r="C12" i="1" s="1"/>
  <c r="AR10" i="1" a="1"/>
  <c r="AR10" i="1" s="1"/>
  <c r="AP12" i="1" a="1"/>
  <c r="AP12" i="1" s="1"/>
  <c r="AQ14" i="1" a="1"/>
  <c r="AQ14" i="1" s="1"/>
  <c r="AM10" i="1" a="1"/>
  <c r="AM10" i="1" s="1"/>
  <c r="AN12" i="1" a="1"/>
  <c r="AN12" i="1" s="1"/>
  <c r="AO13" i="1" a="1"/>
  <c r="AO13" i="1" s="1"/>
  <c r="AO14" i="1" a="1"/>
  <c r="AO14" i="1" s="1"/>
  <c r="AJ12" i="1" a="1"/>
  <c r="AJ12" i="1" s="1"/>
  <c r="AL14" i="1" a="1"/>
  <c r="AL14" i="1" s="1"/>
  <c r="AG10" i="1" a="1"/>
  <c r="AG10" i="1" s="1"/>
  <c r="AH11" i="1" a="1"/>
  <c r="AH11" i="1" s="1"/>
  <c r="AI13" i="1" a="1"/>
  <c r="AI13" i="1" s="1"/>
  <c r="AH9" i="1" a="1"/>
  <c r="AH9" i="1" s="1"/>
  <c r="AF11" i="1" a="1"/>
  <c r="AF11" i="1" s="1"/>
  <c r="AD13" i="1" a="1"/>
  <c r="AD13" i="1" s="1"/>
  <c r="AD14" i="1" a="1"/>
  <c r="AD14" i="1" s="1"/>
  <c r="AF9" i="1" a="1"/>
  <c r="AF9" i="1" s="1"/>
  <c r="AA11" i="1" a="1"/>
  <c r="AA11" i="1" s="1"/>
  <c r="AA12" i="1" a="1"/>
  <c r="AA12" i="1" s="1"/>
  <c r="AB13" i="1" a="1"/>
  <c r="AB13" i="1" s="1"/>
  <c r="AC14" i="1" a="1"/>
  <c r="AC14" i="1" s="1"/>
  <c r="Y10" i="1" a="1"/>
  <c r="Y10" i="1" s="1"/>
  <c r="Y11" i="1" a="1"/>
  <c r="Y11" i="1" s="1"/>
  <c r="Z12" i="1" a="1"/>
  <c r="Z12" i="1" s="1"/>
  <c r="Y9" i="1" a="1"/>
  <c r="Y9" i="1" s="1"/>
  <c r="W10" i="1" a="1"/>
  <c r="W10" i="1" s="1"/>
  <c r="U13" i="1" a="1"/>
  <c r="U13" i="1" s="1"/>
  <c r="AN10" i="1" a="1"/>
  <c r="AN10" i="1" s="1"/>
  <c r="AN9" i="1" a="1"/>
  <c r="AN9" i="1" s="1"/>
  <c r="AI11" i="1" a="1"/>
  <c r="AI11" i="1" s="1"/>
  <c r="AF10" i="1" a="1"/>
  <c r="AF10" i="1" s="1"/>
  <c r="AA10" i="1" a="1"/>
  <c r="AA10" i="1" s="1"/>
  <c r="AB9" i="1" a="1"/>
  <c r="AB9" i="1" s="1"/>
  <c r="X14" i="1" a="1"/>
  <c r="X14" i="1" s="1"/>
  <c r="V13" i="1" a="1"/>
  <c r="V13" i="1" s="1"/>
  <c r="P10" i="1" a="1"/>
  <c r="P10" i="1" s="1"/>
  <c r="Q11" i="1" a="1"/>
  <c r="Q11" i="1" s="1"/>
  <c r="S13" i="1" a="1"/>
  <c r="S13" i="1" s="1"/>
  <c r="S9" i="1" a="1"/>
  <c r="S9" i="1" s="1"/>
  <c r="M13" i="1" a="1"/>
  <c r="M13" i="1" s="1"/>
  <c r="I11" i="1" a="1"/>
  <c r="I11" i="1" s="1"/>
  <c r="K13" i="1" a="1"/>
  <c r="K13" i="1" s="1"/>
  <c r="K9" i="1" a="1"/>
  <c r="K9" i="1" s="1"/>
  <c r="E13" i="1" a="1"/>
  <c r="E13" i="1" s="1"/>
  <c r="C10" i="1" a="1"/>
  <c r="C10" i="1" s="1"/>
  <c r="AQ12" i="1" a="1"/>
  <c r="AQ12" i="1" s="1"/>
  <c r="AN11" i="1" a="1"/>
  <c r="AN11" i="1" s="1"/>
  <c r="AJ14" i="1" a="1"/>
  <c r="AJ14" i="1" s="1"/>
  <c r="AI12" i="1" a="1"/>
  <c r="AI12" i="1" s="1"/>
  <c r="AD12" i="1" a="1"/>
  <c r="AD12" i="1" s="1"/>
  <c r="X9" i="1" a="1"/>
  <c r="X9" i="1" s="1"/>
  <c r="V14" i="1" a="1"/>
  <c r="V14" i="1" s="1"/>
  <c r="T11" i="1" a="1"/>
  <c r="T11" i="1" s="1"/>
  <c r="O13" i="1" a="1"/>
  <c r="O13" i="1" s="1"/>
  <c r="P14" i="1" a="1"/>
  <c r="P14" i="1" s="1"/>
  <c r="R9" i="1" a="1"/>
  <c r="R9" i="1" s="1"/>
  <c r="L12" i="1" a="1"/>
  <c r="L12" i="1" s="1"/>
  <c r="M14" i="1" a="1"/>
  <c r="M14" i="1" s="1"/>
  <c r="J10" i="1" a="1"/>
  <c r="J10" i="1" s="1"/>
  <c r="F13" i="1" a="1"/>
  <c r="F13" i="1" s="1"/>
  <c r="J9" i="1" a="1"/>
  <c r="J9" i="1" s="1"/>
  <c r="D12" i="1" a="1"/>
  <c r="D12" i="1" s="1"/>
  <c r="C13" i="1" a="1"/>
  <c r="C13" i="1" s="1"/>
  <c r="AQ13" i="1" a="1"/>
  <c r="AQ13" i="1" s="1"/>
  <c r="AO12" i="1" a="1"/>
  <c r="AO12" i="1" s="1"/>
  <c r="AK11" i="1" a="1"/>
  <c r="AK11" i="1" s="1"/>
  <c r="AG14" i="1" a="1"/>
  <c r="AG14" i="1" s="1"/>
  <c r="AB12" i="1" a="1"/>
  <c r="AB12" i="1" s="1"/>
  <c r="U11" i="1" a="1"/>
  <c r="U11" i="1" s="1"/>
  <c r="W14" i="1" a="1"/>
  <c r="W14" i="1" s="1"/>
  <c r="T10" i="1" a="1"/>
  <c r="T10" i="1" s="1"/>
  <c r="P13" i="1" a="1"/>
  <c r="P13" i="1" s="1"/>
  <c r="Q14" i="1" a="1"/>
  <c r="Q14" i="1" s="1"/>
  <c r="O9" i="1" a="1"/>
  <c r="O9" i="1" s="1"/>
  <c r="M12" i="1" a="1"/>
  <c r="M12" i="1" s="1"/>
  <c r="M9" i="1" a="1"/>
  <c r="M9" i="1" s="1"/>
  <c r="K10" i="1" a="1"/>
  <c r="K10" i="1" s="1"/>
  <c r="F12" i="1" a="1"/>
  <c r="F12" i="1" s="1"/>
  <c r="H14" i="1" a="1"/>
  <c r="H14" i="1" s="1"/>
  <c r="F9" i="1" a="1"/>
  <c r="F9" i="1" s="1"/>
  <c r="D13" i="1" a="1"/>
  <c r="D13" i="1" s="1"/>
  <c r="C14" i="1" a="1"/>
  <c r="C14" i="1" s="1"/>
  <c r="AR14" i="1" a="1"/>
  <c r="AR14" i="1" s="1"/>
  <c r="AI9" i="1" a="1"/>
  <c r="AI9" i="1" s="1"/>
  <c r="AE14" i="1" a="1"/>
  <c r="AE14" i="1" s="1"/>
  <c r="X13" i="1" a="1"/>
  <c r="X13" i="1" s="1"/>
  <c r="U12" i="1" a="1"/>
  <c r="U12" i="1" s="1"/>
  <c r="O10" i="1" a="1"/>
  <c r="O10" i="1" s="1"/>
  <c r="Q12" i="1" a="1"/>
  <c r="Q12" i="1" s="1"/>
  <c r="T14" i="1" a="1"/>
  <c r="T14" i="1" s="1"/>
  <c r="N10" i="1" a="1"/>
  <c r="N10" i="1" s="1"/>
  <c r="G10" i="1" a="1"/>
  <c r="G10" i="1" s="1"/>
  <c r="I12" i="1" a="1"/>
  <c r="I12" i="1" s="1"/>
  <c r="J13" i="1" a="1"/>
  <c r="J13" i="1" s="1"/>
  <c r="K14" i="1" a="1"/>
  <c r="K14" i="1" s="1"/>
  <c r="E12" i="1" a="1"/>
  <c r="E12" i="1" s="1"/>
  <c r="E9" i="1" a="1"/>
  <c r="E9" i="1" s="1"/>
  <c r="I23" i="2" l="1"/>
  <c r="I25" i="2"/>
  <c r="A23" i="2"/>
  <c r="I7" i="2"/>
  <c r="I9" i="2"/>
  <c r="A25" i="2"/>
  <c r="A9" i="2"/>
  <c r="A7" i="2"/>
  <c r="A27" i="2" l="1"/>
  <c r="A11" i="2"/>
  <c r="I27" i="2"/>
  <c r="I11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<sst xmlns="http://schemas.openxmlformats.org/spreadsheetml/2006/main" count="444" uniqueCount="64">
  <si>
    <t>Options:</t>
  </si>
  <si>
    <t>Q1 2024</t>
  </si>
  <si>
    <t>Q2 2024</t>
  </si>
  <si>
    <t>Q3 2024</t>
  </si>
  <si>
    <t>Q4 2024</t>
  </si>
  <si>
    <t>ACTIVE TABLE FOR SELECTED</t>
  </si>
  <si>
    <t>October</t>
  </si>
  <si>
    <t>November</t>
  </si>
  <si>
    <t>December</t>
  </si>
  <si>
    <t>Revenue</t>
  </si>
  <si>
    <t>Target Revenue</t>
  </si>
  <si>
    <t>Previous Year
Revenue</t>
  </si>
  <si>
    <t>Number of
Customers</t>
  </si>
  <si>
    <t>Number of
New Customers
Target</t>
  </si>
  <si>
    <t>Number of
New Customers</t>
  </si>
  <si>
    <t>Number of
New Customers
Previous Year</t>
  </si>
  <si>
    <t>Customer Acquisition Costs</t>
  </si>
  <si>
    <t>Customer AC (per customer)</t>
  </si>
  <si>
    <t>Customer AC (per customer) Target</t>
  </si>
  <si>
    <t>Customer Aquis. Costs (per customer) PY</t>
  </si>
  <si>
    <t>Revenue per
Customer</t>
  </si>
  <si>
    <t>Revenue per
Customer PY</t>
  </si>
  <si>
    <t>Target Revenue
per Customer</t>
  </si>
  <si>
    <t>Jacob</t>
  </si>
  <si>
    <t>Arnold</t>
  </si>
  <si>
    <t>Naomi</t>
  </si>
  <si>
    <t>David</t>
  </si>
  <si>
    <t>Ariel</t>
  </si>
  <si>
    <t>TOTAL</t>
  </si>
  <si>
    <t>TOTAL REVENUE PER YEAR</t>
  </si>
  <si>
    <t>TOTAL CUSTOMERS PER YEAR</t>
  </si>
  <si>
    <t>NEW CUSTOMERS PER YEAR</t>
  </si>
  <si>
    <t>REVENUE PER CUSTOMER</t>
  </si>
  <si>
    <t>Q1 2023</t>
  </si>
  <si>
    <t>January</t>
  </si>
  <si>
    <t>February</t>
  </si>
  <si>
    <t>March</t>
  </si>
  <si>
    <t>Q2 2023</t>
  </si>
  <si>
    <t>April</t>
  </si>
  <si>
    <t>May</t>
  </si>
  <si>
    <t>June</t>
  </si>
  <si>
    <t>Q3 2023</t>
  </si>
  <si>
    <t>July</t>
  </si>
  <si>
    <t>August</t>
  </si>
  <si>
    <t>September</t>
  </si>
  <si>
    <t>Q4 2023</t>
  </si>
  <si>
    <t>KPI Overview</t>
  </si>
  <si>
    <t>Revenue Compared per year</t>
  </si>
  <si>
    <t>New Customers per year</t>
  </si>
  <si>
    <t>Revenue Actual VS Target</t>
  </si>
  <si>
    <t>New customers Actual VS Target</t>
  </si>
  <si>
    <t>Actual
Revenue</t>
  </si>
  <si>
    <t>Actual
New Customers</t>
  </si>
  <si>
    <t>Target
Revenue</t>
  </si>
  <si>
    <t>Target New Customers</t>
  </si>
  <si>
    <t>Target
Achievement</t>
  </si>
  <si>
    <t>Average Revenue Per Year</t>
  </si>
  <si>
    <t>Customer Acquisition costs per year</t>
  </si>
  <si>
    <t xml:space="preserve">Avg. Revenue per Customer </t>
  </si>
  <si>
    <t>Customer Acquisition Cost</t>
  </si>
  <si>
    <t>Actual
Revenue Per Customer</t>
  </si>
  <si>
    <t>Actual
CAC</t>
  </si>
  <si>
    <t>Target Revnue Per Customer</t>
  </si>
  <si>
    <t>Target
CAC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</si>
</sst>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164" formatCode="&quot;$&quot;#,##0;[Red]&quot;$&quot;#,##0"/>
  </numFmts>
  <fonts count="27" x14ac:knownFonts="1"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Bahnschrift"/>
    </font>
    <font>
      <b/>
      <sz val="14"/>
      <color theme="1"/>
      <name val="Bahnschrift"/>
    </font>
    <font>
      <sz val="11"/>
      <name val="Calibri"/>
    </font>
    <font>
      <sz val="14"/>
      <color theme="1"/>
      <name val="Calibri"/>
    </font>
    <font>
      <sz val="14"/>
      <color theme="1"/>
      <name val="Bahnschrift"/>
    </font>
    <font>
      <sz val="16"/>
      <color theme="1"/>
      <name val="Calibri"/>
    </font>
    <font>
      <sz val="22"/>
      <color theme="1"/>
      <name val="Bahnschrift"/>
    </font>
    <font>
      <sz val="22"/>
      <color rgb="FF000000"/>
      <name val="Arial"/>
    </font>
    <font>
      <b/>
      <sz val="14"/>
      <color theme="1"/>
      <name val="Calibri"/>
    </font>
    <font>
      <b/>
      <sz val="11"/>
      <color rgb="FF595959"/>
      <name val="Bahnschrift"/>
    </font>
    <font>
      <sz val="16"/>
      <color rgb="FF595959"/>
      <name val="Bahnschrift"/>
    </font>
    <font>
      <b/>
      <sz val="10"/>
      <color rgb="FF595959"/>
      <name val="Bahnschrift"/>
    </font>
    <font>
      <sz val="10"/>
      <color theme="1"/>
      <name val="Calibri"/>
    </font>
    <font>
      <sz val="14"/>
      <color theme="1"/>
      <name val="Bahnschrift"/>
      <family val="2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rgb="FF0070C0"/>
      <name val="Cambria"/>
      <family val="1"/>
    </font>
    <font>
      <sz val="14"/>
      <color theme="1"/>
      <name val="Abadi"/>
      <family val="2"/>
    </font>
    <font>
      <sz val="11"/>
      <color theme="1"/>
      <name val="Abadi"/>
      <family val="2"/>
    </font>
    <font>
      <b/>
      <sz val="14"/>
      <color theme="1"/>
      <name val="Abadi"/>
      <family val="2"/>
    </font>
    <font>
      <b/>
      <sz val="16"/>
      <color theme="8"/>
      <name val="Bahnschrift"/>
      <family val="2"/>
    </font>
    <font>
      <sz val="12"/>
      <color theme="1"/>
      <name val="Abadi"/>
      <family val="2"/>
    </font>
    <font>
      <b/>
      <sz val="12"/>
      <color theme="1"/>
      <name val="Abadi"/>
      <family val="2"/>
    </font>
    <font>
      <b/>
      <sz val="16"/>
      <color theme="1"/>
      <name val="Cambria"/>
      <family val="1"/>
    </font>
    <font>
      <sz val="16"/>
      <name val="Cambria"/>
      <family val="1"/>
    </font>
  </fonts>
  <fills count="12">
    <fill>
      <patternFill patternType="none"/>
    </fill>
    <fill>
      <patternFill patternType="gray125"/>
    </fill>
    <fill>
      <patternFill patternType="solid">
        <fgColor rgb="FF7ED2DB"/>
        <bgColor rgb="FF7ED2DB"/>
      </patternFill>
    </fill>
    <fill>
      <patternFill patternType="solid">
        <fgColor rgb="FFF2F2F2"/>
        <bgColor rgb="FFF2F2F2"/>
      </patternFill>
    </fill>
    <fill>
      <patternFill patternType="solid">
        <fgColor rgb="FFDF726E"/>
        <bgColor rgb="FFDF726E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BE4D5"/>
        <bgColor rgb="FFFBE4D5"/>
      </patternFill>
    </fill>
    <fill>
      <patternFill patternType="solid">
        <fgColor rgb="FFC5E0B3"/>
        <bgColor rgb="FFC5E0B3"/>
      </patternFill>
    </fill>
    <fill>
      <patternFill patternType="solid">
        <fgColor rgb="FFECECEC"/>
        <bgColor rgb="FFECECE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5" borderId="1" xfId="0" applyFont="1" applyFill="1" applyBorder="1"/>
    <xf numFmtId="0" fontId="9" fillId="0" borderId="0" xfId="0" applyFont="1"/>
    <xf numFmtId="0" fontId="1" fillId="9" borderId="1" xfId="0" applyFont="1" applyFill="1" applyBorder="1" applyAlignment="1">
      <alignment vertical="center" wrapText="1"/>
    </xf>
    <xf numFmtId="0" fontId="1" fillId="9" borderId="1" xfId="0" applyFont="1" applyFill="1" applyBorder="1"/>
    <xf numFmtId="0" fontId="11" fillId="9" borderId="1" xfId="0" applyFont="1" applyFill="1" applyBorder="1" applyAlignment="1">
      <alignment vertical="center"/>
    </xf>
    <xf numFmtId="6" fontId="12" fillId="9" borderId="1" xfId="0" applyNumberFormat="1" applyFont="1" applyFill="1" applyBorder="1" applyAlignment="1">
      <alignment horizontal="right" vertical="center" wrapText="1"/>
    </xf>
    <xf numFmtId="0" fontId="13" fillId="9" borderId="1" xfId="0" applyFont="1" applyFill="1" applyBorder="1" applyAlignment="1">
      <alignment vertical="center" wrapText="1"/>
    </xf>
    <xf numFmtId="164" fontId="12" fillId="9" borderId="1" xfId="0" applyNumberFormat="1" applyFont="1" applyFill="1" applyBorder="1" applyAlignment="1">
      <alignment horizontal="right" vertical="center" wrapText="1"/>
    </xf>
    <xf numFmtId="9" fontId="12" fillId="9" borderId="1" xfId="0" applyNumberFormat="1" applyFont="1" applyFill="1" applyBorder="1" applyAlignment="1">
      <alignment horizontal="right" vertical="center" wrapText="1"/>
    </xf>
    <xf numFmtId="0" fontId="14" fillId="9" borderId="1" xfId="0" applyFont="1" applyFill="1" applyBorder="1"/>
    <xf numFmtId="6" fontId="11" fillId="9" borderId="1" xfId="0" applyNumberFormat="1" applyFont="1" applyFill="1" applyBorder="1" applyAlignment="1">
      <alignment horizontal="right" vertical="center" wrapText="1"/>
    </xf>
    <xf numFmtId="0" fontId="11" fillId="9" borderId="1" xfId="0" applyFont="1" applyFill="1" applyBorder="1" applyAlignment="1">
      <alignment vertical="center" wrapText="1"/>
    </xf>
    <xf numFmtId="0" fontId="8" fillId="6" borderId="2" xfId="0" applyFont="1" applyFill="1" applyBorder="1" applyAlignment="1">
      <alignment horizontal="center" vertical="center" wrapText="1"/>
    </xf>
    <xf numFmtId="0" fontId="4" fillId="0" borderId="3" xfId="0" applyFont="1" applyBorder="1"/>
    <xf numFmtId="0" fontId="4" fillId="0" borderId="4" xfId="0" applyFont="1" applyBorder="1"/>
    <xf numFmtId="0" fontId="10" fillId="7" borderId="5" xfId="0" applyFont="1" applyFill="1" applyBorder="1" applyAlignment="1">
      <alignment horizontal="center" vertical="center"/>
    </xf>
    <xf numFmtId="0" fontId="4" fillId="0" borderId="6" xfId="0" applyFont="1" applyBorder="1"/>
    <xf numFmtId="0" fontId="4" fillId="0" borderId="7" xfId="0" applyFont="1" applyBorder="1"/>
    <xf numFmtId="0" fontId="10" fillId="8" borderId="5" xfId="0" applyFont="1" applyFill="1" applyBorder="1" applyAlignment="1">
      <alignment horizontal="center" vertical="center"/>
    </xf>
    <xf numFmtId="0" fontId="10" fillId="10" borderId="8" xfId="0" applyFont="1" applyFill="1" applyBorder="1" applyAlignment="1">
      <alignment horizontal="center" vertical="center"/>
    </xf>
    <xf numFmtId="0" fontId="4" fillId="0" borderId="9" xfId="0" applyFont="1" applyBorder="1"/>
    <xf numFmtId="0" fontId="4" fillId="0" borderId="10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0" fontId="10" fillId="11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right" vertical="center" wrapText="1"/>
    </xf>
    <xf numFmtId="0" fontId="5" fillId="0" borderId="1" xfId="0" applyFont="1" applyBorder="1" applyAlignment="1">
      <alignment vertical="center" wrapText="1"/>
    </xf>
    <xf numFmtId="6" fontId="6" fillId="3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8" fontId="6" fillId="3" borderId="1" xfId="0" applyNumberFormat="1" applyFont="1" applyFill="1" applyBorder="1" applyAlignment="1">
      <alignment horizontal="center" vertical="center" wrapText="1"/>
    </xf>
    <xf numFmtId="8" fontId="3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0" fontId="15" fillId="0" borderId="1" xfId="0" applyFont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6" fillId="0" borderId="1" xfId="0" applyFont="1" applyBorder="1" applyAlignment="1">
      <alignment vertical="center" wrapText="1"/>
    </xf>
    <xf numFmtId="0" fontId="16" fillId="0" borderId="0" xfId="0" applyFont="1"/>
    <xf numFmtId="0" fontId="17" fillId="0" borderId="1" xfId="0" applyFont="1" applyBorder="1" applyAlignment="1">
      <alignment vertical="center" wrapText="1"/>
    </xf>
    <xf numFmtId="0" fontId="17" fillId="0" borderId="0" xfId="0" applyFont="1"/>
    <xf numFmtId="0" fontId="18" fillId="0" borderId="1" xfId="0" applyFont="1" applyBorder="1" applyAlignment="1">
      <alignment vertical="center" wrapText="1"/>
    </xf>
    <xf numFmtId="0" fontId="19" fillId="0" borderId="1" xfId="0" applyFont="1" applyBorder="1" applyAlignment="1">
      <alignment vertical="center" wrapText="1"/>
    </xf>
    <xf numFmtId="0" fontId="20" fillId="0" borderId="0" xfId="0" applyFont="1"/>
    <xf numFmtId="8" fontId="17" fillId="2" borderId="14" xfId="0" applyNumberFormat="1" applyFont="1" applyFill="1" applyBorder="1" applyAlignment="1">
      <alignment horizontal="center" vertical="center" wrapText="1"/>
    </xf>
    <xf numFmtId="0" fontId="19" fillId="3" borderId="15" xfId="0" applyFont="1" applyFill="1" applyBorder="1" applyAlignment="1">
      <alignment vertical="center" wrapText="1"/>
    </xf>
    <xf numFmtId="6" fontId="19" fillId="3" borderId="15" xfId="0" applyNumberFormat="1" applyFont="1" applyFill="1" applyBorder="1" applyAlignment="1">
      <alignment horizontal="center" vertical="center" wrapText="1"/>
    </xf>
    <xf numFmtId="0" fontId="19" fillId="3" borderId="16" xfId="0" applyFont="1" applyFill="1" applyBorder="1" applyAlignment="1">
      <alignment vertical="center" wrapText="1"/>
    </xf>
    <xf numFmtId="6" fontId="19" fillId="3" borderId="16" xfId="0" applyNumberFormat="1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vertical="center" wrapText="1"/>
    </xf>
    <xf numFmtId="6" fontId="21" fillId="2" borderId="17" xfId="0" applyNumberFormat="1" applyFont="1" applyFill="1" applyBorder="1" applyAlignment="1">
      <alignment horizontal="center" vertical="center" wrapText="1"/>
    </xf>
    <xf numFmtId="0" fontId="22" fillId="0" borderId="14" xfId="0" applyFont="1" applyBorder="1" applyAlignment="1">
      <alignment vertical="center" wrapText="1"/>
    </xf>
    <xf numFmtId="0" fontId="23" fillId="0" borderId="15" xfId="0" applyFont="1" applyBorder="1" applyAlignment="1">
      <alignment vertical="center"/>
    </xf>
    <xf numFmtId="0" fontId="23" fillId="0" borderId="15" xfId="0" applyFont="1" applyBorder="1" applyAlignment="1">
      <alignment vertical="center" wrapText="1"/>
    </xf>
    <xf numFmtId="8" fontId="23" fillId="0" borderId="15" xfId="0" applyNumberFormat="1" applyFont="1" applyBorder="1" applyAlignment="1">
      <alignment horizontal="center" vertical="center" wrapText="1"/>
    </xf>
    <xf numFmtId="0" fontId="23" fillId="0" borderId="16" xfId="0" applyFont="1" applyBorder="1" applyAlignment="1">
      <alignment vertical="center"/>
    </xf>
    <xf numFmtId="0" fontId="23" fillId="0" borderId="16" xfId="0" applyFont="1" applyBorder="1" applyAlignment="1">
      <alignment vertical="center" wrapText="1"/>
    </xf>
    <xf numFmtId="3" fontId="23" fillId="0" borderId="16" xfId="0" applyNumberFormat="1" applyFont="1" applyBorder="1" applyAlignment="1">
      <alignment horizontal="center" vertical="center" wrapText="1"/>
    </xf>
    <xf numFmtId="0" fontId="23" fillId="0" borderId="17" xfId="0" applyFont="1" applyBorder="1" applyAlignment="1">
      <alignment vertical="center"/>
    </xf>
    <xf numFmtId="0" fontId="23" fillId="0" borderId="17" xfId="0" applyFont="1" applyBorder="1" applyAlignment="1">
      <alignment vertical="center" wrapText="1"/>
    </xf>
    <xf numFmtId="8" fontId="23" fillId="0" borderId="17" xfId="0" applyNumberFormat="1" applyFont="1" applyBorder="1" applyAlignment="1">
      <alignment horizontal="center" vertical="center" wrapText="1"/>
    </xf>
    <xf numFmtId="0" fontId="16" fillId="4" borderId="1" xfId="0" applyFont="1" applyFill="1" applyBorder="1" applyAlignment="1">
      <alignment vertical="center" wrapText="1"/>
    </xf>
    <xf numFmtId="8" fontId="23" fillId="3" borderId="1" xfId="0" applyNumberFormat="1" applyFont="1" applyFill="1" applyBorder="1" applyAlignment="1">
      <alignment horizontal="center" vertical="center" wrapText="1"/>
    </xf>
    <xf numFmtId="0" fontId="23" fillId="0" borderId="0" xfId="0" applyFont="1"/>
    <xf numFmtId="8" fontId="24" fillId="3" borderId="1" xfId="0" applyNumberFormat="1" applyFont="1" applyFill="1" applyBorder="1" applyAlignment="1">
      <alignment horizontal="center" vertical="center" wrapText="1"/>
    </xf>
    <xf numFmtId="8" fontId="23" fillId="3" borderId="16" xfId="0" applyNumberFormat="1" applyFont="1" applyFill="1" applyBorder="1" applyAlignment="1">
      <alignment horizontal="center" vertical="center" wrapText="1"/>
    </xf>
    <xf numFmtId="8" fontId="24" fillId="3" borderId="14" xfId="0" applyNumberFormat="1" applyFont="1" applyFill="1" applyBorder="1" applyAlignment="1">
      <alignment horizontal="center" vertical="center" wrapText="1"/>
    </xf>
    <xf numFmtId="0" fontId="16" fillId="4" borderId="14" xfId="0" applyFont="1" applyFill="1" applyBorder="1" applyAlignment="1">
      <alignment vertical="center" wrapText="1"/>
    </xf>
    <xf numFmtId="0" fontId="17" fillId="4" borderId="14" xfId="0" applyFont="1" applyFill="1" applyBorder="1" applyAlignment="1">
      <alignment horizontal="center" vertical="center" wrapText="1"/>
    </xf>
    <xf numFmtId="0" fontId="17" fillId="4" borderId="14" xfId="0" applyFont="1" applyFill="1" applyBorder="1" applyAlignment="1">
      <alignment vertical="center" wrapText="1"/>
    </xf>
    <xf numFmtId="0" fontId="25" fillId="4" borderId="1" xfId="0" applyFont="1" applyFill="1" applyBorder="1" applyAlignment="1">
      <alignment horizontal="center" vertical="center" wrapText="1"/>
    </xf>
    <xf numFmtId="0" fontId="26" fillId="0" borderId="1" xfId="0" applyFont="1" applyBorder="1"/>
    <xf numFmtId="8" fontId="23" fillId="3" borderId="15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vertical="center" wrapText="1"/>
    </xf>
    <xf numFmtId="1" fontId="17" fillId="2" borderId="14" xfId="0" applyNumberFormat="1" applyFont="1" applyFill="1" applyBorder="1" applyAlignment="1">
      <alignment horizontal="center" vertical="center" wrapText="1"/>
    </xf>
    <xf numFmtId="1" fontId="19" fillId="3" borderId="15" xfId="0" applyNumberFormat="1" applyFont="1" applyFill="1" applyBorder="1" applyAlignment="1">
      <alignment horizontal="center" vertical="center" wrapText="1"/>
    </xf>
    <xf numFmtId="1" fontId="19" fillId="3" borderId="16" xfId="0" applyNumberFormat="1" applyFont="1" applyFill="1" applyBorder="1" applyAlignment="1">
      <alignment horizontal="center" vertical="center" wrapText="1"/>
    </xf>
    <xf numFmtId="1" fontId="21" fillId="2" borderId="17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vertical="center" wrapText="1"/>
    </xf>
    <xf numFmtId="1" fontId="7" fillId="0" borderId="1" xfId="0" applyNumberFormat="1" applyFont="1" applyBorder="1" applyAlignment="1">
      <alignment vertical="center" wrapText="1"/>
    </xf>
    <xf numFmtId="1" fontId="1" fillId="4" borderId="1" xfId="0" applyNumberFormat="1" applyFont="1" applyFill="1" applyBorder="1" applyAlignment="1">
      <alignment vertical="center" wrapText="1"/>
    </xf>
    <xf numFmtId="1" fontId="17" fillId="4" borderId="14" xfId="0" applyNumberFormat="1" applyFont="1" applyFill="1" applyBorder="1" applyAlignment="1">
      <alignment horizontal="center" vertical="center" wrapText="1"/>
    </xf>
    <xf numFmtId="1" fontId="23" fillId="3" borderId="16" xfId="0" applyNumberFormat="1" applyFont="1" applyFill="1" applyBorder="1" applyAlignment="1">
      <alignment horizontal="center" vertical="center" wrapText="1"/>
    </xf>
    <xf numFmtId="1" fontId="24" fillId="3" borderId="14" xfId="0" applyNumberFormat="1" applyFont="1" applyFill="1" applyBorder="1" applyAlignment="1">
      <alignment horizontal="center" vertical="center" wrapText="1"/>
    </xf>
    <xf numFmtId="1" fontId="23" fillId="3" borderId="15" xfId="0" applyNumberFormat="1" applyFont="1" applyFill="1" applyBorder="1" applyAlignment="1">
      <alignment horizontal="center" vertical="center" wrapText="1"/>
    </xf>
    <xf numFmtId="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openxmlformats.org/officeDocument/2006/relationships/sheetMetadata" Target="metadata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IN" sz="1400" b="0" i="0">
                <a:solidFill>
                  <a:srgbClr val="757575"/>
                </a:solidFill>
                <a:latin typeface="+mn-lt"/>
              </a:rPr>
              <a:t>Revenue compared  to previous year</a:t>
            </a:r>
          </a:p>
        </c:rich>
      </c:tx>
      <c:layout>
        <c:manualLayout>
          <c:xMode val="edge"/>
          <c:yMode val="edge"/>
          <c:x val="0.21995305164319248"/>
          <c:y val="5.5E-2"/>
        </c:manualLayout>
      </c:layout>
      <c:overlay val="0"/>
    </c:title>
    <c:autoTitleDeleted val="0"/>
    <c:plotArea>
      <c:layout>
        <c:manualLayout>
          <c:xMode val="edge"/>
          <c:yMode val="edge"/>
          <c:x val="0.18605280683198183"/>
          <c:y val="0.12076965731396251"/>
          <c:w val="0.77208552055992996"/>
          <c:h val="0.69766073044049104"/>
        </c:manualLayout>
      </c:layout>
      <c:barChart>
        <c:barDir val="col"/>
        <c:grouping val="clustered"/>
        <c:varyColors val="1"/>
        <c:ser>
          <c:idx val="0"/>
          <c:order val="0"/>
          <c:tx>
            <c:v>Current Year</c:v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DATA!$F$7:$H$7</c:f>
              <c:strCache>
                <c:ptCount val="3"/>
                <c:pt idx="0">
                  <c:v>July</c:v>
                </c:pt>
                <c:pt idx="1">
                  <c:v>August</c:v>
                </c:pt>
                <c:pt idx="2">
                  <c:v>September</c:v>
                </c:pt>
              </c:strCache>
            </c:strRef>
          </c:cat>
          <c:val>
            <c:numRef>
              <c:f>DATA!$C$14:$E$14</c:f>
              <c:numCache>
                <c:formatCode>"$"#,##0_);[Red]\("$"#,##0\)</c:formatCode>
                <c:ptCount val="3"/>
                <c:pt idx="0">
                  <c:v>780000</c:v>
                </c:pt>
                <c:pt idx="1">
                  <c:v>745000</c:v>
                </c:pt>
                <c:pt idx="2">
                  <c:v>760000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7ED-4930-AB63-CFE70F036EF7}"/>
            </c:ext>
          </c:extLst>
        </c:ser>
        <c:ser>
          <c:idx val="1"/>
          <c:order val="1"/>
          <c:tx>
            <c:v>Previous Year</c:v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DATA!$F$7:$H$7</c:f>
              <c:strCache>
                <c:ptCount val="3"/>
                <c:pt idx="0">
                  <c:v>July</c:v>
                </c:pt>
                <c:pt idx="1">
                  <c:v>August</c:v>
                </c:pt>
                <c:pt idx="2">
                  <c:v>September</c:v>
                </c:pt>
              </c:strCache>
            </c:strRef>
          </c:cat>
          <c:val>
            <c:numRef>
              <c:f>DATA!$F$14:$H$14</c:f>
              <c:numCache>
                <c:formatCode>"$"#,##0_);[Red]\("$"#,##0\)</c:formatCode>
                <c:ptCount val="3"/>
                <c:pt idx="0">
                  <c:v>800000</c:v>
                </c:pt>
                <c:pt idx="1">
                  <c:v>725000</c:v>
                </c:pt>
                <c:pt idx="2">
                  <c:v>800000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87ED-4930-AB63-CFE70F036E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05806664"/>
        <c:axId val="2056169509"/>
      </c:barChart>
      <c:catAx>
        <c:axId val="18058066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1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6169509"/>
        <c:crosses val="autoZero"/>
        <c:auto val="1"/>
        <c:lblAlgn val="ctr"/>
        <c:lblOffset val="100"/>
        <c:noMultiLvlLbl val="1"/>
      </c:catAx>
      <c:valAx>
        <c:axId val="2056169509"/>
        <c:scaling>
          <c:orientation val="minMax"/>
          <c:max val="100000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@" sourceLinked="0"/>
        <c:majorTickMark val="none"/>
        <c:minorTickMark val="none"/>
        <c:tickLblPos val="nextTo"/>
        <c:spPr>
          <a:ln/>
        </c:spPr>
        <c:txPr>
          <a:bodyPr rot="-60000"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05806664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lang="en-IN" sz="1600" b="1" i="0">
                <a:solidFill>
                  <a:srgbClr val="757575"/>
                </a:solidFill>
                <a:latin typeface="+mn-lt"/>
              </a:rPr>
              <a:t>New Cumstomers compared to previous
</a:t>
            </a:r>
          </a:p>
        </c:rich>
      </c:tx>
      <c:layout>
        <c:manualLayout>
          <c:xMode val="edge"/>
          <c:yMode val="edge"/>
          <c:x val="0.21365314629788923"/>
          <c:y val="9.0808742365148295E-3"/>
        </c:manualLayout>
      </c:layout>
      <c:overlay val="0"/>
    </c:title>
    <c:autoTitleDeleted val="0"/>
    <c:plotArea>
      <c:layout>
        <c:manualLayout>
          <c:xMode val="edge"/>
          <c:yMode val="edge"/>
          <c:x val="0.11531714785651793"/>
          <c:y val="7.407407407407407E-2"/>
          <c:w val="0.84023840769903757"/>
          <c:h val="0.74742917065273384"/>
        </c:manualLayout>
      </c:layout>
      <c:barChart>
        <c:barDir val="col"/>
        <c:grouping val="clustered"/>
        <c:varyColors val="1"/>
        <c:ser>
          <c:idx val="0"/>
          <c:order val="0"/>
          <c:tx>
            <c:v>Current Year</c:v>
          </c:tx>
          <c:spPr>
            <a:solidFill>
              <a:srgbClr val="70AD47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DATA!$U$7:$W$7</c:f>
              <c:strCache>
                <c:ptCount val="3"/>
                <c:pt idx="0">
                  <c:v>July</c:v>
                </c:pt>
                <c:pt idx="1">
                  <c:v>August</c:v>
                </c:pt>
                <c:pt idx="2">
                  <c:v>September</c:v>
                </c:pt>
              </c:strCache>
            </c:strRef>
          </c:cat>
          <c:val>
            <c:numRef>
              <c:f>DATA!$R$14:$T$14</c:f>
              <c:numCache>
                <c:formatCode>0</c:formatCode>
                <c:ptCount val="3"/>
                <c:pt idx="0">
                  <c:v>102</c:v>
                </c:pt>
                <c:pt idx="1">
                  <c:v>100</c:v>
                </c:pt>
                <c:pt idx="2">
                  <c:v>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F60-4650-A3A9-17300E8FC1A3}"/>
            </c:ext>
          </c:extLst>
        </c:ser>
        <c:ser>
          <c:idx val="1"/>
          <c:order val="1"/>
          <c:tx>
            <c:v>Previous Year</c:v>
          </c:tx>
          <c:spPr>
            <a:solidFill>
              <a:srgbClr val="70AD47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DATA!$U$7:$W$7</c:f>
              <c:strCache>
                <c:ptCount val="3"/>
                <c:pt idx="0">
                  <c:v>July</c:v>
                </c:pt>
                <c:pt idx="1">
                  <c:v>August</c:v>
                </c:pt>
                <c:pt idx="2">
                  <c:v>September</c:v>
                </c:pt>
              </c:strCache>
            </c:strRef>
          </c:cat>
          <c:val>
            <c:numRef>
              <c:f>DATA!$U$14:$W$14</c:f>
              <c:numCache>
                <c:formatCode>0</c:formatCode>
                <c:ptCount val="3"/>
                <c:pt idx="0">
                  <c:v>102</c:v>
                </c:pt>
                <c:pt idx="1">
                  <c:v>91</c:v>
                </c:pt>
                <c:pt idx="2">
                  <c:v>87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0F60-4650-A3A9-17300E8FC1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46316270"/>
        <c:axId val="1095252179"/>
      </c:barChart>
      <c:catAx>
        <c:axId val="20463162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1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95252179"/>
        <c:crosses val="autoZero"/>
        <c:auto val="1"/>
        <c:lblAlgn val="ctr"/>
        <c:lblOffset val="100"/>
        <c:noMultiLvlLbl val="1"/>
      </c:catAx>
      <c:valAx>
        <c:axId val="1095252179"/>
        <c:scaling>
          <c:orientation val="minMax"/>
          <c:max val="120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#,##0_);[Red]\(#,##0\)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6316270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200" b="0" i="0">
                <a:solidFill>
                  <a:srgbClr val="757575"/>
                </a:solidFill>
                <a:latin typeface="+mn-lt"/>
              </a:defRPr>
            </a:pPr>
            <a:r>
              <a:rPr lang="en-IN" sz="1200" b="0" i="0">
                <a:solidFill>
                  <a:srgbClr val="757575"/>
                </a:solidFill>
                <a:latin typeface="+mn-lt"/>
              </a:rPr>
              <a:t>Average Revenue Per Cust. compared to
 previous  year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0.15699177024158537"/>
          <c:y val="0.18191634136153334"/>
          <c:w val="0.79538561073604341"/>
          <c:h val="0.59937988971495193"/>
        </c:manualLayout>
      </c:layout>
      <c:barChart>
        <c:barDir val="col"/>
        <c:grouping val="clustered"/>
        <c:varyColors val="1"/>
        <c:ser>
          <c:idx val="0"/>
          <c:order val="0"/>
          <c:tx>
            <c:v>Current Year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DATA!$AJ$14:$AL$14</c:f>
              <c:numCache>
                <c:formatCode>"$"#,##0_);[Red]\("$"#,##0\)</c:formatCode>
                <c:ptCount val="3"/>
                <c:pt idx="0">
                  <c:v>2709.0160000000001</c:v>
                </c:pt>
                <c:pt idx="1">
                  <c:v>2854.7080000000001</c:v>
                </c:pt>
                <c:pt idx="2">
                  <c:v>2571.576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09B-43EC-B37B-E5449F9633FC}"/>
            </c:ext>
          </c:extLst>
        </c:ser>
        <c:ser>
          <c:idx val="1"/>
          <c:order val="1"/>
          <c:tx>
            <c:v>Previous Year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DATA!$AM$14:$AO$14</c:f>
              <c:numCache>
                <c:formatCode>"$"#,##0_);[Red]\("$"#,##0\)</c:formatCode>
                <c:ptCount val="3"/>
                <c:pt idx="0">
                  <c:v>2440</c:v>
                </c:pt>
                <c:pt idx="1">
                  <c:v>2620</c:v>
                </c:pt>
                <c:pt idx="2">
                  <c:v>2298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09B-43EC-B37B-E5449F963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75114484"/>
        <c:axId val="1412484875"/>
      </c:barChart>
      <c:catAx>
        <c:axId val="11751144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12484875"/>
        <c:crosses val="autoZero"/>
        <c:auto val="1"/>
        <c:lblAlgn val="ctr"/>
        <c:lblOffset val="100"/>
        <c:noMultiLvlLbl val="1"/>
      </c:catAx>
      <c:valAx>
        <c:axId val="1412484875"/>
        <c:scaling>
          <c:orientation val="minMax"/>
          <c:max val="4000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75114484"/>
        <c:crosses val="autoZero"/>
        <c:crossBetween val="between"/>
        <c:majorUnit val="1000"/>
      </c:valAx>
    </c:plotArea>
    <c:legend>
      <c:legendPos val="r"/>
      <c:layout>
        <c:manualLayout>
          <c:xMode val="edge"/>
          <c:yMode val="edge"/>
          <c:x val="0.18356329474072891"/>
          <c:y val="0.84815486993345435"/>
          <c:w val="0.72492564043202701"/>
          <c:h val="0.1555519431038862"/>
        </c:manualLayout>
      </c:layout>
      <c:overlay val="0"/>
      <c:txPr>
        <a:bodyPr/>
        <a:lstStyle/>
        <a:p>
          <a:pPr lvl="0">
            <a:defRPr sz="10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IN" sz="1400" b="0" i="0">
                <a:solidFill>
                  <a:srgbClr val="757575"/>
                </a:solidFill>
                <a:latin typeface="+mn-lt"/>
              </a:rPr>
              <a:t>Customer Acquisition costs comp. to prev.year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0.12738135839135978"/>
          <c:y val="0.12639535828228213"/>
          <c:w val="0.84025644738637539"/>
          <c:h val="0.68809015163273624"/>
        </c:manualLayout>
      </c:layout>
      <c:barChart>
        <c:barDir val="col"/>
        <c:grouping val="clustered"/>
        <c:varyColors val="1"/>
        <c:ser>
          <c:idx val="0"/>
          <c:order val="0"/>
          <c:tx>
            <c:v>Current Year</c:v>
          </c:tx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DATA!$AA$7:$AC$7</c:f>
              <c:strCache>
                <c:ptCount val="3"/>
                <c:pt idx="0">
                  <c:v>July</c:v>
                </c:pt>
                <c:pt idx="1">
                  <c:v>August</c:v>
                </c:pt>
                <c:pt idx="2">
                  <c:v>September</c:v>
                </c:pt>
              </c:strCache>
            </c:strRef>
          </c:cat>
          <c:val>
            <c:numRef>
              <c:f>DATA!$AA$14:$AC$14</c:f>
              <c:numCache>
                <c:formatCode>"$"#,##0_);[Red]\("$"#,##0\)</c:formatCode>
                <c:ptCount val="3"/>
                <c:pt idx="0">
                  <c:v>393.82</c:v>
                </c:pt>
                <c:pt idx="1">
                  <c:v>363.63599999999997</c:v>
                </c:pt>
                <c:pt idx="2">
                  <c:v>328.68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602-41E8-BED1-69DF411776D4}"/>
            </c:ext>
          </c:extLst>
        </c:ser>
        <c:ser>
          <c:idx val="1"/>
          <c:order val="1"/>
          <c:tx>
            <c:v>Previous Year</c:v>
          </c:tx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DATA!$AA$7:$AC$7</c:f>
              <c:strCache>
                <c:ptCount val="3"/>
                <c:pt idx="0">
                  <c:v>July</c:v>
                </c:pt>
                <c:pt idx="1">
                  <c:v>August</c:v>
                </c:pt>
                <c:pt idx="2">
                  <c:v>September</c:v>
                </c:pt>
              </c:strCache>
            </c:strRef>
          </c:cat>
          <c:val>
            <c:numRef>
              <c:f>DATA!$AG$14:$AI$14</c:f>
              <c:numCache>
                <c:formatCode>"$"#,##0_);[Red]\("$"#,##0\)</c:formatCode>
                <c:ptCount val="3"/>
                <c:pt idx="0">
                  <c:v>387</c:v>
                </c:pt>
                <c:pt idx="1">
                  <c:v>371</c:v>
                </c:pt>
                <c:pt idx="2">
                  <c:v>378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602-41E8-BED1-69DF41177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41919169"/>
        <c:axId val="1230771962"/>
      </c:barChart>
      <c:catAx>
        <c:axId val="13419191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30771962"/>
        <c:crosses val="autoZero"/>
        <c:auto val="1"/>
        <c:lblAlgn val="ctr"/>
        <c:lblOffset val="100"/>
        <c:noMultiLvlLbl val="1"/>
      </c:catAx>
      <c:valAx>
        <c:axId val="1230771962"/>
        <c:scaling>
          <c:orientation val="minMax"/>
          <c:max val="600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41919169"/>
        <c:crosses val="autoZero"/>
        <c:crossBetween val="between"/>
        <c:majorUnit val="100"/>
        <c:minorUnit val="2"/>
      </c:valAx>
    </c:plotArea>
    <c:legend>
      <c:legendPos val="r"/>
      <c:layout>
        <c:manualLayout>
          <c:xMode val="edge"/>
          <c:yMode val="edge"/>
          <c:x val="0.26578902269569249"/>
          <c:y val="0.91467542590873918"/>
        </c:manualLayout>
      </c:layout>
      <c:overlay val="0"/>
      <c:txPr>
        <a:bodyPr/>
        <a:lstStyle/>
        <a:p>
          <a:pPr lvl="0">
            <a:defRPr sz="900" b="1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1181100</xdr:colOff>
      <xdr:row>3</xdr:row>
      <xdr:rowOff>114300</xdr:rowOff>
    </xdr:from>
    <xdr:ext cx="3857625" cy="2733675"/>
    <xdr:graphicFrame macro="">
      <xdr:nvGraphicFramePr>
        <xdr:cNvPr id="440490215" name="Chart 1" descr="vdfv&#10;">
          <a:extLst>
            <a:ext uri="{FF2B5EF4-FFF2-40B4-BE49-F238E27FC236}">
              <a16:creationId xmlns:a16="http://schemas.microsoft.com/office/drawing/2014/main" id="{00000000-0008-0000-0100-0000E75841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10</xdr:col>
      <xdr:colOff>1066800</xdr:colOff>
      <xdr:row>3</xdr:row>
      <xdr:rowOff>85725</xdr:rowOff>
    </xdr:from>
    <xdr:ext cx="3743325" cy="2790825"/>
    <xdr:graphicFrame macro="">
      <xdr:nvGraphicFramePr>
        <xdr:cNvPr id="1944029326" name="Chart 2">
          <a:extLst>
            <a:ext uri="{FF2B5EF4-FFF2-40B4-BE49-F238E27FC236}">
              <a16:creationId xmlns:a16="http://schemas.microsoft.com/office/drawing/2014/main" id="{00000000-0008-0000-0100-00008E88DF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</xdr:col>
      <xdr:colOff>1304925</xdr:colOff>
      <xdr:row>19</xdr:row>
      <xdr:rowOff>76200</xdr:rowOff>
    </xdr:from>
    <xdr:ext cx="3781426" cy="2952750"/>
    <xdr:graphicFrame macro="">
      <xdr:nvGraphicFramePr>
        <xdr:cNvPr id="653455794" name="Chart 3">
          <a:extLst>
            <a:ext uri="{FF2B5EF4-FFF2-40B4-BE49-F238E27FC236}">
              <a16:creationId xmlns:a16="http://schemas.microsoft.com/office/drawing/2014/main" id="{00000000-0008-0000-0100-0000B2F1F2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11</xdr:col>
      <xdr:colOff>0</xdr:colOff>
      <xdr:row>19</xdr:row>
      <xdr:rowOff>95250</xdr:rowOff>
    </xdr:from>
    <xdr:ext cx="3790950" cy="2905125"/>
    <xdr:graphicFrame macro="">
      <xdr:nvGraphicFramePr>
        <xdr:cNvPr id="135739941" name="Chart 4">
          <a:extLst>
            <a:ext uri="{FF2B5EF4-FFF2-40B4-BE49-F238E27FC236}">
              <a16:creationId xmlns:a16="http://schemas.microsoft.com/office/drawing/2014/main" id="{00000000-0008-0000-0100-0000253A17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998"/>
  <sheetViews>
    <sheetView tabSelected="1" topLeftCell="AF7" workbookViewId="0">
      <selection activeCell="AI11" sqref="AI11"/>
    </sheetView>
  </sheetViews>
  <sheetFormatPr defaultColWidth="14.42578125" defaultRowHeight="15" customHeight="1" x14ac:dyDescent="0.25"/>
  <cols>
    <col min="1" max="1" width="8.7109375" style="35" customWidth="1"/>
    <col min="2" max="2" width="24.85546875" style="35" customWidth="1"/>
    <col min="3" max="3" width="16.42578125" style="35" customWidth="1"/>
    <col min="4" max="4" width="23.28515625" style="35" bestFit="1" customWidth="1"/>
    <col min="5" max="5" width="16.140625" style="35" customWidth="1"/>
    <col min="6" max="8" width="16.42578125" style="35" customWidth="1"/>
    <col min="9" max="11" width="16.140625" style="35" customWidth="1"/>
    <col min="12" max="14" width="16.42578125" style="86" customWidth="1"/>
    <col min="15" max="17" width="24.42578125" style="86" customWidth="1"/>
    <col min="18" max="20" width="16.85546875" style="86" customWidth="1"/>
    <col min="21" max="23" width="24.42578125" style="86" customWidth="1"/>
    <col min="24" max="24" width="18.7109375" style="35" customWidth="1"/>
    <col min="25" max="26" width="15.140625" style="35" customWidth="1"/>
    <col min="27" max="29" width="15.85546875" style="35" customWidth="1"/>
    <col min="30" max="32" width="22.5703125" style="35" customWidth="1"/>
    <col min="33" max="35" width="25.28515625" style="35" customWidth="1"/>
    <col min="36" max="36" width="15.140625" style="35" customWidth="1"/>
    <col min="37" max="37" width="17" style="35" customWidth="1"/>
    <col min="38" max="38" width="17.42578125" style="35" customWidth="1"/>
    <col min="39" max="41" width="19.140625" style="35" customWidth="1"/>
    <col min="42" max="44" width="20.85546875" style="35" customWidth="1"/>
  </cols>
  <sheetData>
    <row r="1" spans="1:44" ht="14.25" customHeight="1" x14ac:dyDescent="0.25">
      <c r="A1" s="27"/>
      <c r="B1" s="27"/>
      <c r="C1" s="27"/>
      <c r="D1" s="27"/>
      <c r="E1" s="27"/>
      <c r="F1" s="27"/>
      <c r="G1" s="28" t="s">
        <v>0</v>
      </c>
      <c r="H1" s="37" t="s">
        <v>1</v>
      </c>
      <c r="I1" s="27"/>
      <c r="J1" s="27"/>
      <c r="K1" s="27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</row>
    <row r="2" spans="1:44" ht="14.25" customHeight="1" x14ac:dyDescent="0.25">
      <c r="A2" s="27"/>
      <c r="B2" s="27"/>
      <c r="C2" s="27"/>
      <c r="D2" s="27"/>
      <c r="E2" s="27"/>
      <c r="F2" s="27"/>
      <c r="G2" s="27"/>
      <c r="H2" s="37" t="s">
        <v>2</v>
      </c>
      <c r="I2" s="27"/>
      <c r="J2" s="27"/>
      <c r="K2" s="27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</row>
    <row r="3" spans="1:44" ht="14.25" customHeight="1" x14ac:dyDescent="0.25">
      <c r="A3" s="27"/>
      <c r="B3" s="27"/>
      <c r="C3" s="27"/>
      <c r="D3" s="27"/>
      <c r="E3" s="27"/>
      <c r="F3" s="27"/>
      <c r="G3" s="27"/>
      <c r="H3" s="37" t="s">
        <v>3</v>
      </c>
      <c r="I3" s="27"/>
      <c r="J3" s="27"/>
      <c r="K3" s="27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</row>
    <row r="4" spans="1:44" ht="14.25" customHeight="1" x14ac:dyDescent="0.25">
      <c r="A4" s="27"/>
      <c r="B4" s="27"/>
      <c r="C4" s="27"/>
      <c r="D4" s="27"/>
      <c r="E4" s="27"/>
      <c r="F4" s="27"/>
      <c r="G4" s="27"/>
      <c r="H4" s="37" t="s">
        <v>4</v>
      </c>
      <c r="I4" s="27"/>
      <c r="J4" s="27"/>
      <c r="K4" s="27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</row>
    <row r="5" spans="1:44" ht="19.5" x14ac:dyDescent="0.25">
      <c r="A5" s="27"/>
      <c r="B5" s="36" t="s">
        <v>5</v>
      </c>
      <c r="C5" s="27"/>
      <c r="D5" s="27"/>
      <c r="E5" s="52" t="str">
        <f>DASHBOARD!D2</f>
        <v>Q3 2024</v>
      </c>
      <c r="F5" s="27"/>
      <c r="G5" s="27"/>
      <c r="H5" s="27"/>
      <c r="I5" s="27"/>
      <c r="J5" s="27"/>
      <c r="K5" s="27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</row>
    <row r="6" spans="1:44" ht="21" customHeight="1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</row>
    <row r="7" spans="1:44" s="41" customFormat="1" ht="14.25" customHeight="1" x14ac:dyDescent="0.25">
      <c r="A7" s="42"/>
      <c r="B7" s="45"/>
      <c r="C7" s="45" t="str" cm="1">
        <f t="array" ref="C7:AR7">_xlfn.SWITCH($E$5,"Q1 2024",C26:AR26,"Q2 2024",C37:AR37,"Q3 2024",C48:AR48,"Q4 2024",C59:AR59)</f>
        <v>July</v>
      </c>
      <c r="D7" s="45" t="str">
        <v>August</v>
      </c>
      <c r="E7" s="45" t="str">
        <v>September</v>
      </c>
      <c r="F7" s="45" t="str">
        <v>July</v>
      </c>
      <c r="G7" s="45" t="str">
        <v>August</v>
      </c>
      <c r="H7" s="45" t="str">
        <v>September</v>
      </c>
      <c r="I7" s="45" t="str">
        <v>July</v>
      </c>
      <c r="J7" s="45" t="str">
        <v>August</v>
      </c>
      <c r="K7" s="45" t="str">
        <v>September</v>
      </c>
      <c r="L7" s="75" t="str">
        <v>July</v>
      </c>
      <c r="M7" s="75" t="str">
        <v>August</v>
      </c>
      <c r="N7" s="75" t="str">
        <v>September</v>
      </c>
      <c r="O7" s="75" t="str">
        <v>July</v>
      </c>
      <c r="P7" s="75" t="str">
        <v>August</v>
      </c>
      <c r="Q7" s="75" t="str">
        <v>September</v>
      </c>
      <c r="R7" s="75" t="str">
        <v>July</v>
      </c>
      <c r="S7" s="75" t="str">
        <v>August</v>
      </c>
      <c r="T7" s="75" t="str">
        <v>September</v>
      </c>
      <c r="U7" s="75" t="str">
        <v>July</v>
      </c>
      <c r="V7" s="75" t="str">
        <v>August</v>
      </c>
      <c r="W7" s="75" t="str">
        <v>September</v>
      </c>
      <c r="X7" s="45" t="str">
        <v>July</v>
      </c>
      <c r="Y7" s="45" t="str">
        <v>August</v>
      </c>
      <c r="Z7" s="45" t="str">
        <v>September</v>
      </c>
      <c r="AA7" s="45" t="str">
        <v>July</v>
      </c>
      <c r="AB7" s="45" t="str">
        <v>August</v>
      </c>
      <c r="AC7" s="45" t="str">
        <v>September</v>
      </c>
      <c r="AD7" s="45" t="str">
        <v>July</v>
      </c>
      <c r="AE7" s="45" t="str">
        <v>August</v>
      </c>
      <c r="AF7" s="45" t="str">
        <v>September</v>
      </c>
      <c r="AG7" s="45" t="str">
        <v>July</v>
      </c>
      <c r="AH7" s="45" t="str">
        <v>August</v>
      </c>
      <c r="AI7" s="45" t="str">
        <v>September</v>
      </c>
      <c r="AJ7" s="45" t="str">
        <v>July</v>
      </c>
      <c r="AK7" s="45" t="str">
        <v>August</v>
      </c>
      <c r="AL7" s="45" t="str">
        <v>September</v>
      </c>
      <c r="AM7" s="45" t="str">
        <v>July</v>
      </c>
      <c r="AN7" s="45" t="str">
        <v>August</v>
      </c>
      <c r="AO7" s="45" t="str">
        <v>September</v>
      </c>
      <c r="AP7" s="45" t="str">
        <v>July</v>
      </c>
      <c r="AQ7" s="45" t="str">
        <v>August</v>
      </c>
      <c r="AR7" s="45" t="str">
        <v>September</v>
      </c>
    </row>
    <row r="8" spans="1:44" s="41" customFormat="1" ht="45" customHeight="1" x14ac:dyDescent="0.25">
      <c r="A8" s="42"/>
      <c r="B8" s="45"/>
      <c r="C8" s="45" t="s">
        <v>9</v>
      </c>
      <c r="D8" s="45" t="s">
        <v>9</v>
      </c>
      <c r="E8" s="45" t="s">
        <v>9</v>
      </c>
      <c r="F8" s="45" t="s">
        <v>10</v>
      </c>
      <c r="G8" s="45" t="s">
        <v>10</v>
      </c>
      <c r="H8" s="45" t="s">
        <v>10</v>
      </c>
      <c r="I8" s="45" t="s">
        <v>11</v>
      </c>
      <c r="J8" s="45" t="s">
        <v>11</v>
      </c>
      <c r="K8" s="45" t="s">
        <v>11</v>
      </c>
      <c r="L8" s="75" t="s">
        <v>12</v>
      </c>
      <c r="M8" s="75" t="s">
        <v>12</v>
      </c>
      <c r="N8" s="75" t="s">
        <v>12</v>
      </c>
      <c r="O8" s="75" t="s">
        <v>13</v>
      </c>
      <c r="P8" s="75" t="s">
        <v>13</v>
      </c>
      <c r="Q8" s="75" t="s">
        <v>13</v>
      </c>
      <c r="R8" s="75" t="s">
        <v>14</v>
      </c>
      <c r="S8" s="75" t="s">
        <v>14</v>
      </c>
      <c r="T8" s="75" t="s">
        <v>14</v>
      </c>
      <c r="U8" s="75" t="s">
        <v>15</v>
      </c>
      <c r="V8" s="75" t="s">
        <v>15</v>
      </c>
      <c r="W8" s="75" t="s">
        <v>15</v>
      </c>
      <c r="X8" s="45" t="s">
        <v>16</v>
      </c>
      <c r="Y8" s="45" t="s">
        <v>16</v>
      </c>
      <c r="Z8" s="45" t="s">
        <v>16</v>
      </c>
      <c r="AA8" s="45" t="s">
        <v>17</v>
      </c>
      <c r="AB8" s="45" t="s">
        <v>17</v>
      </c>
      <c r="AC8" s="45" t="s">
        <v>17</v>
      </c>
      <c r="AD8" s="45" t="s">
        <v>18</v>
      </c>
      <c r="AE8" s="45" t="s">
        <v>18</v>
      </c>
      <c r="AF8" s="45" t="s">
        <v>18</v>
      </c>
      <c r="AG8" s="45" t="s">
        <v>19</v>
      </c>
      <c r="AH8" s="45" t="s">
        <v>19</v>
      </c>
      <c r="AI8" s="45" t="s">
        <v>19</v>
      </c>
      <c r="AJ8" s="45" t="s">
        <v>20</v>
      </c>
      <c r="AK8" s="45" t="s">
        <v>20</v>
      </c>
      <c r="AL8" s="45" t="s">
        <v>20</v>
      </c>
      <c r="AM8" s="45" t="s">
        <v>21</v>
      </c>
      <c r="AN8" s="45" t="s">
        <v>21</v>
      </c>
      <c r="AO8" s="45" t="s">
        <v>21</v>
      </c>
      <c r="AP8" s="45" t="s">
        <v>22</v>
      </c>
      <c r="AQ8" s="45" t="s">
        <v>22</v>
      </c>
      <c r="AR8" s="45" t="s">
        <v>22</v>
      </c>
    </row>
    <row r="9" spans="1:44" s="44" customFormat="1" ht="14.25" customHeight="1" x14ac:dyDescent="0.25">
      <c r="A9" s="43"/>
      <c r="B9" s="46" t="s">
        <v>23</v>
      </c>
      <c r="C9" s="47" cm="1">
        <f t="array" ref="C9">_xlfn.SWITCH($E$5,"Q4 2024",_xlfn.XLOOKUP($B9,$B$61:$B$66,C$61:C$66),
"Q3 2024",_xlfn.XLOOKUP($B9,$B$50:$B$55,C$50:C$55),
"Q2 2024",_xlfn.XLOOKUP($B9,$B$39:$B$44,C$39:C$44), "Q1 2024",_xlfn.XLOOKUP($B9,$B$28:$B$33,C$28:C$33))</f>
        <v>150000</v>
      </c>
      <c r="D9" s="47" cm="1">
        <f t="array" ref="D9">_xlfn.SWITCH($E$5,"Q4 2024",_xlfn.XLOOKUP($B9,$B$61:$B$66,D$61:D$66),
"Q3 2024",_xlfn.XLOOKUP($B9,$B$50:$B$55,D$50:D$55),
"Q2 2024",_xlfn.XLOOKUP($B9,$B$39:$B$44,D$39:D$44), "Q1 2024",_xlfn.XLOOKUP($B9,$B$28:$B$33,D$28:D$33))</f>
        <v>145000</v>
      </c>
      <c r="E9" s="47" cm="1">
        <f t="array" ref="E9">_xlfn.SWITCH($E$5,"Q4 2024",_xlfn.XLOOKUP($B9,$B$61:$B$66,E$61:E$66),
"Q3 2024",_xlfn.XLOOKUP($B9,$B$50:$B$55,E$50:E$55),
"Q2 2024",_xlfn.XLOOKUP($B9,$B$39:$B$44,E$39:E$44), "Q1 2024",_xlfn.XLOOKUP($B9,$B$28:$B$33,E$28:E$33))</f>
        <v>145000</v>
      </c>
      <c r="F9" s="47" cm="1">
        <f t="array" ref="F9">_xlfn.SWITCH($E$5,"Q4 2024",_xlfn.XLOOKUP($B9,$B$61:$B$66,F$61:F$66),
"Q3 2024",_xlfn.XLOOKUP($B9,$B$50:$B$55,F$50:F$55),
"Q2 2024",_xlfn.XLOOKUP($B9,$B$39:$B$44,F$39:F$44), "Q1 2024",_xlfn.XLOOKUP($B9,$B$28:$B$33,F$28:F$33))</f>
        <v>160000</v>
      </c>
      <c r="G9" s="47" cm="1">
        <f t="array" ref="G9">_xlfn.SWITCH($E$5,"Q4 2024",_xlfn.XLOOKUP($B9,$B$61:$B$66,G$61:G$66),
"Q3 2024",_xlfn.XLOOKUP($B9,$B$50:$B$55,G$50:G$55),
"Q2 2024",_xlfn.XLOOKUP($B9,$B$39:$B$44,G$39:G$44), "Q1 2024",_xlfn.XLOOKUP($B9,$B$28:$B$33,G$28:G$33))</f>
        <v>145000</v>
      </c>
      <c r="H9" s="47" cm="1">
        <f t="array" ref="H9">_xlfn.SWITCH($E$5,"Q4 2024",_xlfn.XLOOKUP($B9,$B$61:$B$66,H$61:H$66),
"Q3 2024",_xlfn.XLOOKUP($B9,$B$50:$B$55,H$50:H$55),
"Q2 2024",_xlfn.XLOOKUP($B9,$B$39:$B$44,H$39:H$44), "Q1 2024",_xlfn.XLOOKUP($B9,$B$28:$B$33,H$28:H$33))</f>
        <v>160000</v>
      </c>
      <c r="I9" s="47" cm="1">
        <f t="array" ref="I9">_xlfn.SWITCH($E$5,"Q4 2024",_xlfn.XLOOKUP($B9,$B$61:$B$66,I$61:I$66),
"Q3 2024",_xlfn.XLOOKUP($B9,$B$50:$B$55,I$50:I$55),
"Q2 2024",_xlfn.XLOOKUP($B9,$B$39:$B$44,I$39:I$44), "Q1 2024",_xlfn.XLOOKUP($B9,$B$28:$B$33,I$28:I$33))</f>
        <v>160000</v>
      </c>
      <c r="J9" s="47" cm="1">
        <f t="array" ref="J9">_xlfn.SWITCH($E$5,"Q4 2024",_xlfn.XLOOKUP($B9,$B$61:$B$66,J$61:J$66),
"Q3 2024",_xlfn.XLOOKUP($B9,$B$50:$B$55,J$50:J$55),
"Q2 2024",_xlfn.XLOOKUP($B9,$B$39:$B$44,J$39:J$44), "Q1 2024",_xlfn.XLOOKUP($B9,$B$28:$B$33,J$28:J$33))</f>
        <v>125000</v>
      </c>
      <c r="K9" s="47" cm="1">
        <f t="array" ref="K9">_xlfn.SWITCH($E$5,"Q4 2024",_xlfn.XLOOKUP($B9,$B$61:$B$66,K$61:K$66),
"Q3 2024",_xlfn.XLOOKUP($B9,$B$50:$B$55,K$50:K$55),
"Q2 2024",_xlfn.XLOOKUP($B9,$B$39:$B$44,K$39:K$44), "Q1 2024",_xlfn.XLOOKUP($B9,$B$28:$B$33,K$28:K$33))</f>
        <v>145000</v>
      </c>
      <c r="L9" s="76" cm="1">
        <f t="array" ref="L9">_xlfn.SWITCH($E$5,"Q4 2024",_xlfn.XLOOKUP($B9,$B$61:$B$66,L$61:L$66),
"Q3 2024",_xlfn.XLOOKUP($B9,$B$50:$B$55,L$50:L$55),
"Q2 2024",_xlfn.XLOOKUP($B9,$B$39:$B$44,L$39:L$44), "Q1 2024",_xlfn.XLOOKUP($B9,$B$28:$B$33,L$28:L$33))</f>
        <v>55</v>
      </c>
      <c r="M9" s="76" cm="1">
        <f t="array" ref="M9">_xlfn.SWITCH($E$5,"Q4 2024",_xlfn.XLOOKUP($B9,$B$61:$B$66,M$61:M$66),
"Q3 2024",_xlfn.XLOOKUP($B9,$B$50:$B$55,M$50:M$55),
"Q2 2024",_xlfn.XLOOKUP($B9,$B$39:$B$44,M$39:M$44), "Q1 2024",_xlfn.XLOOKUP($B9,$B$28:$B$33,M$28:M$33))</f>
        <v>55</v>
      </c>
      <c r="N9" s="76" cm="1">
        <f t="array" ref="N9">_xlfn.SWITCH($E$5,"Q4 2024",_xlfn.XLOOKUP($B9,$B$61:$B$66,N$61:N$66),
"Q3 2024",_xlfn.XLOOKUP($B9,$B$50:$B$55,N$50:N$55),
"Q2 2024",_xlfn.XLOOKUP($B9,$B$39:$B$44,N$39:N$44), "Q1 2024",_xlfn.XLOOKUP($B9,$B$28:$B$33,N$28:N$33))</f>
        <v>60</v>
      </c>
      <c r="O9" s="76" cm="1">
        <f t="array" ref="O9">_xlfn.SWITCH($E$5,"Q4 2024",_xlfn.XLOOKUP($B9,$B$61:$B$66,O$61:O$66),
"Q3 2024",_xlfn.XLOOKUP($B9,$B$50:$B$55,O$50:O$55),
"Q2 2024",_xlfn.XLOOKUP($B9,$B$39:$B$44,O$39:O$44), "Q1 2024",_xlfn.XLOOKUP($B9,$B$28:$B$33,O$28:O$33))</f>
        <v>20</v>
      </c>
      <c r="P9" s="76" cm="1">
        <f t="array" ref="P9">_xlfn.SWITCH($E$5,"Q4 2024",_xlfn.XLOOKUP($B9,$B$61:$B$66,P$61:P$66),
"Q3 2024",_xlfn.XLOOKUP($B9,$B$50:$B$55,P$50:P$55),
"Q2 2024",_xlfn.XLOOKUP($B9,$B$39:$B$44,P$39:P$44), "Q1 2024",_xlfn.XLOOKUP($B9,$B$28:$B$33,P$28:P$33))</f>
        <v>25</v>
      </c>
      <c r="Q9" s="76" cm="1">
        <f t="array" ref="Q9">_xlfn.SWITCH($E$5,"Q4 2024",_xlfn.XLOOKUP($B9,$B$61:$B$66,Q$61:Q$66),
"Q3 2024",_xlfn.XLOOKUP($B9,$B$50:$B$55,Q$50:Q$55),
"Q2 2024",_xlfn.XLOOKUP($B9,$B$39:$B$44,Q$39:Q$44), "Q1 2024",_xlfn.XLOOKUP($B9,$B$28:$B$33,Q$28:Q$33))</f>
        <v>35</v>
      </c>
      <c r="R9" s="76" cm="1">
        <f t="array" ref="R9">_xlfn.SWITCH($E$5,"Q4 2024",_xlfn.XLOOKUP($B9,$B$61:$B$66,R$61:R$66),
"Q3 2024",_xlfn.XLOOKUP($B9,$B$50:$B$55,R$50:R$55),
"Q2 2024",_xlfn.XLOOKUP($B9,$B$39:$B$44,R$39:R$44), "Q1 2024",_xlfn.XLOOKUP($B9,$B$28:$B$33,R$28:R$33))</f>
        <v>14</v>
      </c>
      <c r="S9" s="76" cm="1">
        <f t="array" ref="S9">_xlfn.SWITCH($E$5,"Q4 2024",_xlfn.XLOOKUP($B9,$B$61:$B$66,S$61:S$66),
"Q3 2024",_xlfn.XLOOKUP($B9,$B$50:$B$55,S$50:S$55),
"Q2 2024",_xlfn.XLOOKUP($B9,$B$39:$B$44,S$39:S$44), "Q1 2024",_xlfn.XLOOKUP($B9,$B$28:$B$33,S$28:S$33))</f>
        <v>18</v>
      </c>
      <c r="T9" s="76" cm="1">
        <f t="array" ref="T9">_xlfn.SWITCH($E$5,"Q4 2024",_xlfn.XLOOKUP($B9,$B$61:$B$66,T$61:T$66),
"Q3 2024",_xlfn.XLOOKUP($B9,$B$50:$B$55,T$50:T$55),
"Q2 2024",_xlfn.XLOOKUP($B9,$B$39:$B$44,T$39:T$44), "Q1 2024",_xlfn.XLOOKUP($B9,$B$28:$B$33,T$28:T$33))</f>
        <v>17</v>
      </c>
      <c r="U9" s="76" cm="1">
        <f t="array" ref="U9">_xlfn.SWITCH($E$5,"Q4 2024",_xlfn.XLOOKUP($B9,$B$61:$B$66,U$61:U$66),
"Q3 2024",_xlfn.XLOOKUP($B9,$B$50:$B$55,U$50:U$55),
"Q2 2024",_xlfn.XLOOKUP($B9,$B$39:$B$44,U$39:U$44), "Q1 2024",_xlfn.XLOOKUP($B9,$B$28:$B$33,U$28:U$33))</f>
        <v>21</v>
      </c>
      <c r="V9" s="76" cm="1">
        <f t="array" ref="V9">_xlfn.SWITCH($E$5,"Q4 2024",_xlfn.XLOOKUP($B9,$B$61:$B$66,V$61:V$66),
"Q3 2024",_xlfn.XLOOKUP($B9,$B$50:$B$55,V$50:V$55),
"Q2 2024",_xlfn.XLOOKUP($B9,$B$39:$B$44,V$39:V$44), "Q1 2024",_xlfn.XLOOKUP($B9,$B$28:$B$33,V$28:V$33))</f>
        <v>15</v>
      </c>
      <c r="W9" s="76" cm="1">
        <f t="array" ref="W9">_xlfn.SWITCH($E$5,"Q4 2024",_xlfn.XLOOKUP($B9,$B$61:$B$66,W$61:W$66),
"Q3 2024",_xlfn.XLOOKUP($B9,$B$50:$B$55,W$50:W$55),
"Q2 2024",_xlfn.XLOOKUP($B9,$B$39:$B$44,W$39:W$44), "Q1 2024",_xlfn.XLOOKUP($B9,$B$28:$B$33,W$28:W$33))</f>
        <v>11</v>
      </c>
      <c r="X9" s="47" cm="1">
        <f t="array" ref="X9">_xlfn.SWITCH($E$5,"Q4 2024",_xlfn.XLOOKUP($B9,$B$61:$B$66,X$61:X$66),
"Q3 2024",_xlfn.XLOOKUP($B9,$B$50:$B$55,X$50:X$55),
"Q2 2024",_xlfn.XLOOKUP($B9,$B$39:$B$44,X$39:X$44), "Q1 2024",_xlfn.XLOOKUP($B9,$B$28:$B$33,X$28:X$33))</f>
        <v>8000</v>
      </c>
      <c r="Y9" s="47" cm="1">
        <f t="array" ref="Y9">_xlfn.SWITCH($E$5,"Q4 2024",_xlfn.XLOOKUP($B9,$B$61:$B$66,Y$61:Y$66),
"Q3 2024",_xlfn.XLOOKUP($B9,$B$50:$B$55,Y$50:Y$55),
"Q2 2024",_xlfn.XLOOKUP($B9,$B$39:$B$44,Y$39:Y$44), "Q1 2024",_xlfn.XLOOKUP($B9,$B$28:$B$33,Y$28:Y$33))</f>
        <v>6000</v>
      </c>
      <c r="Z9" s="47" cm="1">
        <f t="array" ref="Z9">_xlfn.SWITCH($E$5,"Q4 2024",_xlfn.XLOOKUP($B9,$B$61:$B$66,Z$61:Z$66),
"Q3 2024",_xlfn.XLOOKUP($B9,$B$50:$B$55,Z$50:Z$55),
"Q2 2024",_xlfn.XLOOKUP($B9,$B$39:$B$44,Z$39:Z$44), "Q1 2024",_xlfn.XLOOKUP($B9,$B$28:$B$33,Z$28:Z$33))</f>
        <v>4000</v>
      </c>
      <c r="AA9" s="47" cm="1">
        <f t="array" ref="AA9">_xlfn.SWITCH($E$5,"Q4 2024",_xlfn.XLOOKUP($B9,$B$61:$B$66,AA$61:AA$66),
"Q3 2024",_xlfn.XLOOKUP($B9,$B$50:$B$55,AA$50:AA$55),
"Q2 2024",_xlfn.XLOOKUP($B9,$B$39:$B$44,AA$39:AA$44), "Q1 2024",_xlfn.XLOOKUP($B9,$B$28:$B$33,AA$28:AA$33))</f>
        <v>571.42999999999995</v>
      </c>
      <c r="AB9" s="47" cm="1">
        <f t="array" ref="AB9">_xlfn.SWITCH($E$5,"Q4 2024",_xlfn.XLOOKUP($B9,$B$61:$B$66,AB$61:AB$66),
"Q3 2024",_xlfn.XLOOKUP($B9,$B$50:$B$55,AB$50:AB$55),
"Q2 2024",_xlfn.XLOOKUP($B9,$B$39:$B$44,AB$39:AB$44), "Q1 2024",_xlfn.XLOOKUP($B9,$B$28:$B$33,AB$28:AB$33))</f>
        <v>333.33</v>
      </c>
      <c r="AC9" s="47" cm="1">
        <f t="array" ref="AC9">_xlfn.SWITCH($E$5,"Q4 2024",_xlfn.XLOOKUP($B9,$B$61:$B$66,AC$61:AC$66),
"Q3 2024",_xlfn.XLOOKUP($B9,$B$50:$B$55,AC$50:AC$55),
"Q2 2024",_xlfn.XLOOKUP($B9,$B$39:$B$44,AC$39:AC$44), "Q1 2024",_xlfn.XLOOKUP($B9,$B$28:$B$33,AC$28:AC$33))</f>
        <v>235.29</v>
      </c>
      <c r="AD9" s="47" cm="1">
        <f t="array" ref="AD9">_xlfn.SWITCH($E$5,"Q4 2024",_xlfn.XLOOKUP($B9,$B$61:$B$66,AD$61:AD$66),
"Q3 2024",_xlfn.XLOOKUP($B9,$B$50:$B$55,AD$50:AD$55),
"Q2 2024",_xlfn.XLOOKUP($B9,$B$39:$B$44,AD$39:AD$44), "Q1 2024",_xlfn.XLOOKUP($B9,$B$28:$B$33,AD$28:AD$33))</f>
        <v>350</v>
      </c>
      <c r="AE9" s="47" cm="1">
        <f t="array" ref="AE9">_xlfn.SWITCH($E$5,"Q4 2024",_xlfn.XLOOKUP($B9,$B$61:$B$66,AE$61:AE$66),
"Q3 2024",_xlfn.XLOOKUP($B9,$B$50:$B$55,AE$50:AE$55),
"Q2 2024",_xlfn.XLOOKUP($B9,$B$39:$B$44,AE$39:AE$44), "Q1 2024",_xlfn.XLOOKUP($B9,$B$28:$B$33,AE$28:AE$33))</f>
        <v>450</v>
      </c>
      <c r="AF9" s="47" cm="1">
        <f t="array" ref="AF9">_xlfn.SWITCH($E$5,"Q4 2024",_xlfn.XLOOKUP($B9,$B$61:$B$66,AF$61:AF$66),
"Q3 2024",_xlfn.XLOOKUP($B9,$B$50:$B$55,AF$50:AF$55),
"Q2 2024",_xlfn.XLOOKUP($B9,$B$39:$B$44,AF$39:AF$44), "Q1 2024",_xlfn.XLOOKUP($B9,$B$28:$B$33,AF$28:AF$33))</f>
        <v>350</v>
      </c>
      <c r="AG9" s="47" cm="1">
        <f t="array" ref="AG9">_xlfn.SWITCH($E$5,"Q4 2024",_xlfn.XLOOKUP($B9,$B$61:$B$66,AG$61:AG$66),
"Q3 2024",_xlfn.XLOOKUP($B9,$B$50:$B$55,AG$50:AG$55),
"Q2 2024",_xlfn.XLOOKUP($B9,$B$39:$B$44,AG$39:AG$44), "Q1 2024",_xlfn.XLOOKUP($B9,$B$28:$B$33,AG$28:AG$33))</f>
        <v>400</v>
      </c>
      <c r="AH9" s="47" cm="1">
        <f t="array" ref="AH9">_xlfn.SWITCH($E$5,"Q4 2024",_xlfn.XLOOKUP($B9,$B$61:$B$66,AH$61:AH$66),
"Q3 2024",_xlfn.XLOOKUP($B9,$B$50:$B$55,AH$50:AH$55),
"Q2 2024",_xlfn.XLOOKUP($B9,$B$39:$B$44,AH$39:AH$44), "Q1 2024",_xlfn.XLOOKUP($B9,$B$28:$B$33,AH$28:AH$33))</f>
        <v>385</v>
      </c>
      <c r="AI9" s="47" cm="1">
        <f t="array" ref="AI9">_xlfn.SWITCH($E$5,"Q4 2024",_xlfn.XLOOKUP($B9,$B$61:$B$66,AI$61:AI$66),
"Q3 2024",_xlfn.XLOOKUP($B9,$B$50:$B$55,AI$50:AI$55),
"Q2 2024",_xlfn.XLOOKUP($B9,$B$39:$B$44,AI$39:AI$44), "Q1 2024",_xlfn.XLOOKUP($B9,$B$28:$B$33,AI$28:AI$33))</f>
        <v>390</v>
      </c>
      <c r="AJ9" s="47" cm="1">
        <f t="array" ref="AJ9">_xlfn.SWITCH($E$5,"Q4 2024",_xlfn.XLOOKUP($B9,$B$61:$B$66,AJ$61:AJ$66),
"Q3 2024",_xlfn.XLOOKUP($B9,$B$50:$B$55,AJ$50:AJ$55),
"Q2 2024",_xlfn.XLOOKUP($B9,$B$39:$B$44,AJ$39:AJ$44), "Q1 2024",_xlfn.XLOOKUP($B9,$B$28:$B$33,AJ$28:AJ$33))</f>
        <v>2909.09</v>
      </c>
      <c r="AK9" s="47" cm="1">
        <f t="array" ref="AK9">_xlfn.SWITCH($E$5,"Q4 2024",_xlfn.XLOOKUP($B9,$B$61:$B$66,AK$61:AK$66),
"Q3 2024",_xlfn.XLOOKUP($B9,$B$50:$B$55,AK$50:AK$55),
"Q2 2024",_xlfn.XLOOKUP($B9,$B$39:$B$44,AK$39:AK$44), "Q1 2024",_xlfn.XLOOKUP($B9,$B$28:$B$33,AK$28:AK$33))</f>
        <v>2636.36</v>
      </c>
      <c r="AL9" s="47" cm="1">
        <f t="array" ref="AL9">_xlfn.SWITCH($E$5,"Q4 2024",_xlfn.XLOOKUP($B9,$B$61:$B$66,AL$61:AL$66),
"Q3 2024",_xlfn.XLOOKUP($B9,$B$50:$B$55,AL$50:AL$55),
"Q2 2024",_xlfn.XLOOKUP($B9,$B$39:$B$44,AL$39:AL$44), "Q1 2024",_xlfn.XLOOKUP($B9,$B$28:$B$33,AL$28:AL$33))</f>
        <v>2416.67</v>
      </c>
      <c r="AM9" s="47" cm="1">
        <f t="array" ref="AM9">_xlfn.SWITCH($E$5,"Q4 2024",_xlfn.XLOOKUP($B9,$B$61:$B$66,AM$61:AM$66),
"Q3 2024",_xlfn.XLOOKUP($B9,$B$50:$B$55,AM$50:AM$55),
"Q2 2024",_xlfn.XLOOKUP($B9,$B$39:$B$44,AM$39:AM$44), "Q1 2024",_xlfn.XLOOKUP($B9,$B$28:$B$33,AM$28:AM$33))</f>
        <v>2800</v>
      </c>
      <c r="AN9" s="47" cm="1">
        <f t="array" ref="AN9">_xlfn.SWITCH($E$5,"Q4 2024",_xlfn.XLOOKUP($B9,$B$61:$B$66,AN$61:AN$66),
"Q3 2024",_xlfn.XLOOKUP($B9,$B$50:$B$55,AN$50:AN$55),
"Q2 2024",_xlfn.XLOOKUP($B9,$B$39:$B$44,AN$39:AN$44), "Q1 2024",_xlfn.XLOOKUP($B9,$B$28:$B$33,AN$28:AN$33))</f>
        <v>2500</v>
      </c>
      <c r="AO9" s="47" cm="1">
        <f t="array" ref="AO9">_xlfn.SWITCH($E$5,"Q4 2024",_xlfn.XLOOKUP($B9,$B$61:$B$66,AO$61:AO$66),
"Q3 2024",_xlfn.XLOOKUP($B9,$B$50:$B$55,AO$50:AO$55),
"Q2 2024",_xlfn.XLOOKUP($B9,$B$39:$B$44,AO$39:AO$44), "Q1 2024",_xlfn.XLOOKUP($B9,$B$28:$B$33,AO$28:AO$33))</f>
        <v>2300</v>
      </c>
      <c r="AP9" s="47" cm="1">
        <f t="array" ref="AP9">_xlfn.SWITCH($E$5,"Q4 2024",_xlfn.XLOOKUP($B9,$B$61:$B$66,AP$61:AP$66),
"Q3 2024",_xlfn.XLOOKUP($B9,$B$50:$B$55,AP$50:AP$55),
"Q2 2024",_xlfn.XLOOKUP($B9,$B$39:$B$44,AP$39:AP$44), "Q1 2024",_xlfn.XLOOKUP($B9,$B$28:$B$33,AP$28:AP$33))</f>
        <v>2200</v>
      </c>
      <c r="AQ9" s="47" cm="1">
        <f t="array" ref="AQ9">_xlfn.SWITCH($E$5,"Q4 2024",_xlfn.XLOOKUP($B9,$B$61:$B$66,AQ$61:AQ$66),
"Q3 2024",_xlfn.XLOOKUP($B9,$B$50:$B$55,AQ$50:AQ$55),
"Q2 2024",_xlfn.XLOOKUP($B9,$B$39:$B$44,AQ$39:AQ$44), "Q1 2024",_xlfn.XLOOKUP($B9,$B$28:$B$33,AQ$28:AQ$33))</f>
        <v>2300</v>
      </c>
      <c r="AR9" s="47" cm="1">
        <f t="array" ref="AR9">_xlfn.SWITCH($E$5,"Q4 2024",_xlfn.XLOOKUP($B9,$B$61:$B$66,AR$61:AR$66),
"Q3 2024",_xlfn.XLOOKUP($B9,$B$50:$B$55,AR$50:AR$55),
"Q2 2024",_xlfn.XLOOKUP($B9,$B$39:$B$44,AR$39:AR$44), "Q1 2024",_xlfn.XLOOKUP($B9,$B$28:$B$33,AR$28:AR$33))</f>
        <v>2500</v>
      </c>
    </row>
    <row r="10" spans="1:44" s="44" customFormat="1" ht="14.25" customHeight="1" x14ac:dyDescent="0.25">
      <c r="A10" s="43"/>
      <c r="B10" s="48" t="s">
        <v>24</v>
      </c>
      <c r="C10" s="49" cm="1">
        <f t="array" ref="C10">_xlfn.SWITCH($E$5,"Q4 2024",_xlfn.XLOOKUP($B10,$B$61:$B$66,C$61:C$66),
"Q3 2024",_xlfn.XLOOKUP($B10,$B$50:$B$55,C$50:C$55),
"Q2 2024",_xlfn.XLOOKUP($B10,$B$39:$B$44,C$39:C$44), "Q1 2024",_xlfn.XLOOKUP($B10,$B$28:$B$33,C$28:C$33))</f>
        <v>185000</v>
      </c>
      <c r="D10" s="49" cm="1">
        <f t="array" ref="D10">_xlfn.SWITCH($E$5,"Q4 2024",_xlfn.XLOOKUP($B10,$B$61:$B$66,D$61:D$66),
"Q3 2024",_xlfn.XLOOKUP($B10,$B$50:$B$55,D$50:D$55),
"Q2 2024",_xlfn.XLOOKUP($B10,$B$39:$B$44,D$39:D$44), "Q1 2024",_xlfn.XLOOKUP($B10,$B$28:$B$33,D$28:D$33))</f>
        <v>150000</v>
      </c>
      <c r="E10" s="49" cm="1">
        <f t="array" ref="E10">_xlfn.SWITCH($E$5,"Q4 2024",_xlfn.XLOOKUP($B10,$B$61:$B$66,E$61:E$66),
"Q3 2024",_xlfn.XLOOKUP($B10,$B$50:$B$55,E$50:E$55),
"Q2 2024",_xlfn.XLOOKUP($B10,$B$39:$B$44,E$39:E$44), "Q1 2024",_xlfn.XLOOKUP($B10,$B$28:$B$33,E$28:E$33))</f>
        <v>185000</v>
      </c>
      <c r="F10" s="49" cm="1">
        <f t="array" ref="F10">_xlfn.SWITCH($E$5,"Q4 2024",_xlfn.XLOOKUP($B10,$B$61:$B$66,F$61:F$66),
"Q3 2024",_xlfn.XLOOKUP($B10,$B$50:$B$55,F$50:F$55),
"Q2 2024",_xlfn.XLOOKUP($B10,$B$39:$B$44,F$39:F$44), "Q1 2024",_xlfn.XLOOKUP($B10,$B$28:$B$33,F$28:F$33))</f>
        <v>160000</v>
      </c>
      <c r="G10" s="49" cm="1">
        <f t="array" ref="G10">_xlfn.SWITCH($E$5,"Q4 2024",_xlfn.XLOOKUP($B10,$B$61:$B$66,G$61:G$66),
"Q3 2024",_xlfn.XLOOKUP($B10,$B$50:$B$55,G$50:G$55),
"Q2 2024",_xlfn.XLOOKUP($B10,$B$39:$B$44,G$39:G$44), "Q1 2024",_xlfn.XLOOKUP($B10,$B$28:$B$33,G$28:G$33))</f>
        <v>145000</v>
      </c>
      <c r="H10" s="49" cm="1">
        <f t="array" ref="H10">_xlfn.SWITCH($E$5,"Q4 2024",_xlfn.XLOOKUP($B10,$B$61:$B$66,H$61:H$66),
"Q3 2024",_xlfn.XLOOKUP($B10,$B$50:$B$55,H$50:H$55),
"Q2 2024",_xlfn.XLOOKUP($B10,$B$39:$B$44,H$39:H$44), "Q1 2024",_xlfn.XLOOKUP($B10,$B$28:$B$33,H$28:H$33))</f>
        <v>160000</v>
      </c>
      <c r="I10" s="49" cm="1">
        <f t="array" ref="I10">_xlfn.SWITCH($E$5,"Q4 2024",_xlfn.XLOOKUP($B10,$B$61:$B$66,I$61:I$66),
"Q3 2024",_xlfn.XLOOKUP($B10,$B$50:$B$55,I$50:I$55),
"Q2 2024",_xlfn.XLOOKUP($B10,$B$39:$B$44,I$39:I$44), "Q1 2024",_xlfn.XLOOKUP($B10,$B$28:$B$33,I$28:I$33))</f>
        <v>125000</v>
      </c>
      <c r="J10" s="49" cm="1">
        <f t="array" ref="J10">_xlfn.SWITCH($E$5,"Q4 2024",_xlfn.XLOOKUP($B10,$B$61:$B$66,J$61:J$66),
"Q3 2024",_xlfn.XLOOKUP($B10,$B$50:$B$55,J$50:J$55),
"Q2 2024",_xlfn.XLOOKUP($B10,$B$39:$B$44,J$39:J$44), "Q1 2024",_xlfn.XLOOKUP($B10,$B$28:$B$33,J$28:J$33))</f>
        <v>130000</v>
      </c>
      <c r="K10" s="49" cm="1">
        <f t="array" ref="K10">_xlfn.SWITCH($E$5,"Q4 2024",_xlfn.XLOOKUP($B10,$B$61:$B$66,K$61:K$66),
"Q3 2024",_xlfn.XLOOKUP($B10,$B$50:$B$55,K$50:K$55),
"Q2 2024",_xlfn.XLOOKUP($B10,$B$39:$B$44,K$39:K$44), "Q1 2024",_xlfn.XLOOKUP($B10,$B$28:$B$33,K$28:K$33))</f>
        <v>120000</v>
      </c>
      <c r="L10" s="77" cm="1">
        <f t="array" ref="L10">_xlfn.SWITCH($E$5,"Q4 2024",_xlfn.XLOOKUP($B10,$B$61:$B$66,L$61:L$66),
"Q3 2024",_xlfn.XLOOKUP($B10,$B$50:$B$55,L$50:L$55),
"Q2 2024",_xlfn.XLOOKUP($B10,$B$39:$B$44,L$39:L$44), "Q1 2024",_xlfn.XLOOKUP($B10,$B$28:$B$33,L$28:L$33))</f>
        <v>56</v>
      </c>
      <c r="M10" s="77" cm="1">
        <f t="array" ref="M10">_xlfn.SWITCH($E$5,"Q4 2024",_xlfn.XLOOKUP($B10,$B$61:$B$66,M$61:M$66),
"Q3 2024",_xlfn.XLOOKUP($B10,$B$50:$B$55,M$50:M$55),
"Q2 2024",_xlfn.XLOOKUP($B10,$B$39:$B$44,M$39:M$44), "Q1 2024",_xlfn.XLOOKUP($B10,$B$28:$B$33,M$28:M$33))</f>
        <v>45</v>
      </c>
      <c r="N10" s="77" cm="1">
        <f t="array" ref="N10">_xlfn.SWITCH($E$5,"Q4 2024",_xlfn.XLOOKUP($B10,$B$61:$B$66,N$61:N$66),
"Q3 2024",_xlfn.XLOOKUP($B10,$B$50:$B$55,N$50:N$55),
"Q2 2024",_xlfn.XLOOKUP($B10,$B$39:$B$44,N$39:N$44), "Q1 2024",_xlfn.XLOOKUP($B10,$B$28:$B$33,N$28:N$33))</f>
        <v>65</v>
      </c>
      <c r="O10" s="77" cm="1">
        <f t="array" ref="O10">_xlfn.SWITCH($E$5,"Q4 2024",_xlfn.XLOOKUP($B10,$B$61:$B$66,O$61:O$66),
"Q3 2024",_xlfn.XLOOKUP($B10,$B$50:$B$55,O$50:O$55),
"Q2 2024",_xlfn.XLOOKUP($B10,$B$39:$B$44,O$39:O$44), "Q1 2024",_xlfn.XLOOKUP($B10,$B$28:$B$33,O$28:O$33))</f>
        <v>20</v>
      </c>
      <c r="P10" s="77" cm="1">
        <f t="array" ref="P10">_xlfn.SWITCH($E$5,"Q4 2024",_xlfn.XLOOKUP($B10,$B$61:$B$66,P$61:P$66),
"Q3 2024",_xlfn.XLOOKUP($B10,$B$50:$B$55,P$50:P$55),
"Q2 2024",_xlfn.XLOOKUP($B10,$B$39:$B$44,P$39:P$44), "Q1 2024",_xlfn.XLOOKUP($B10,$B$28:$B$33,P$28:P$33))</f>
        <v>25</v>
      </c>
      <c r="Q10" s="77" cm="1">
        <f t="array" ref="Q10">_xlfn.SWITCH($E$5,"Q4 2024",_xlfn.XLOOKUP($B10,$B$61:$B$66,Q$61:Q$66),
"Q3 2024",_xlfn.XLOOKUP($B10,$B$50:$B$55,Q$50:Q$55),
"Q2 2024",_xlfn.XLOOKUP($B10,$B$39:$B$44,Q$39:Q$44), "Q1 2024",_xlfn.XLOOKUP($B10,$B$28:$B$33,Q$28:Q$33))</f>
        <v>35</v>
      </c>
      <c r="R10" s="77" cm="1">
        <f t="array" ref="R10">_xlfn.SWITCH($E$5,"Q4 2024",_xlfn.XLOOKUP($B10,$B$61:$B$66,R$61:R$66),
"Q3 2024",_xlfn.XLOOKUP($B10,$B$50:$B$55,R$50:R$55),
"Q2 2024",_xlfn.XLOOKUP($B10,$B$39:$B$44,R$39:R$44), "Q1 2024",_xlfn.XLOOKUP($B10,$B$28:$B$33,R$28:R$33))</f>
        <v>15</v>
      </c>
      <c r="S10" s="77" cm="1">
        <f t="array" ref="S10">_xlfn.SWITCH($E$5,"Q4 2024",_xlfn.XLOOKUP($B10,$B$61:$B$66,S$61:S$66),
"Q3 2024",_xlfn.XLOOKUP($B10,$B$50:$B$55,S$50:S$55),
"Q2 2024",_xlfn.XLOOKUP($B10,$B$39:$B$44,S$39:S$44), "Q1 2024",_xlfn.XLOOKUP($B10,$B$28:$B$33,S$28:S$33))</f>
        <v>25</v>
      </c>
      <c r="T10" s="77" cm="1">
        <f t="array" ref="T10">_xlfn.SWITCH($E$5,"Q4 2024",_xlfn.XLOOKUP($B10,$B$61:$B$66,T$61:T$66),
"Q3 2024",_xlfn.XLOOKUP($B10,$B$50:$B$55,T$50:T$55),
"Q2 2024",_xlfn.XLOOKUP($B10,$B$39:$B$44,T$39:T$44), "Q1 2024",_xlfn.XLOOKUP($B10,$B$28:$B$33,T$28:T$33))</f>
        <v>25</v>
      </c>
      <c r="U10" s="77" cm="1">
        <f t="array" ref="U10">_xlfn.SWITCH($E$5,"Q4 2024",_xlfn.XLOOKUP($B10,$B$61:$B$66,U$61:U$66),
"Q3 2024",_xlfn.XLOOKUP($B10,$B$50:$B$55,U$50:U$55),
"Q2 2024",_xlfn.XLOOKUP($B10,$B$39:$B$44,U$39:U$44), "Q1 2024",_xlfn.XLOOKUP($B10,$B$28:$B$33,U$28:U$33))</f>
        <v>14</v>
      </c>
      <c r="V10" s="77" cm="1">
        <f t="array" ref="V10">_xlfn.SWITCH($E$5,"Q4 2024",_xlfn.XLOOKUP($B10,$B$61:$B$66,V$61:V$66),
"Q3 2024",_xlfn.XLOOKUP($B10,$B$50:$B$55,V$50:V$55),
"Q2 2024",_xlfn.XLOOKUP($B10,$B$39:$B$44,V$39:V$44), "Q1 2024",_xlfn.XLOOKUP($B10,$B$28:$B$33,V$28:V$33))</f>
        <v>22</v>
      </c>
      <c r="W10" s="77" cm="1">
        <f t="array" ref="W10">_xlfn.SWITCH($E$5,"Q4 2024",_xlfn.XLOOKUP($B10,$B$61:$B$66,W$61:W$66),
"Q3 2024",_xlfn.XLOOKUP($B10,$B$50:$B$55,W$50:W$55),
"Q2 2024",_xlfn.XLOOKUP($B10,$B$39:$B$44,W$39:W$44), "Q1 2024",_xlfn.XLOOKUP($B10,$B$28:$B$33,W$28:W$33))</f>
        <v>12</v>
      </c>
      <c r="X10" s="49" cm="1">
        <f t="array" ref="X10">_xlfn.SWITCH($E$5,"Q4 2024",_xlfn.XLOOKUP($B10,$B$61:$B$66,X$61:X$66),
"Q3 2024",_xlfn.XLOOKUP($B10,$B$50:$B$55,X$50:X$55),
"Q2 2024",_xlfn.XLOOKUP($B10,$B$39:$B$44,X$39:X$44), "Q1 2024",_xlfn.XLOOKUP($B10,$B$28:$B$33,X$28:X$33))</f>
        <v>5500</v>
      </c>
      <c r="Y10" s="49" cm="1">
        <f t="array" ref="Y10">_xlfn.SWITCH($E$5,"Q4 2024",_xlfn.XLOOKUP($B10,$B$61:$B$66,Y$61:Y$66),
"Q3 2024",_xlfn.XLOOKUP($B10,$B$50:$B$55,Y$50:Y$55),
"Q2 2024",_xlfn.XLOOKUP($B10,$B$39:$B$44,Y$39:Y$44), "Q1 2024",_xlfn.XLOOKUP($B10,$B$28:$B$33,Y$28:Y$33))</f>
        <v>8500</v>
      </c>
      <c r="Z10" s="49" cm="1">
        <f t="array" ref="Z10">_xlfn.SWITCH($E$5,"Q4 2024",_xlfn.XLOOKUP($B10,$B$61:$B$66,Z$61:Z$66),
"Q3 2024",_xlfn.XLOOKUP($B10,$B$50:$B$55,Z$50:Z$55),
"Q2 2024",_xlfn.XLOOKUP($B10,$B$39:$B$44,Z$39:Z$44), "Q1 2024",_xlfn.XLOOKUP($B10,$B$28:$B$33,Z$28:Z$33))</f>
        <v>5000</v>
      </c>
      <c r="AA10" s="49" cm="1">
        <f t="array" ref="AA10">_xlfn.SWITCH($E$5,"Q4 2024",_xlfn.XLOOKUP($B10,$B$61:$B$66,AA$61:AA$66),
"Q3 2024",_xlfn.XLOOKUP($B10,$B$50:$B$55,AA$50:AA$55),
"Q2 2024",_xlfn.XLOOKUP($B10,$B$39:$B$44,AA$39:AA$44), "Q1 2024",_xlfn.XLOOKUP($B10,$B$28:$B$33,AA$28:AA$33))</f>
        <v>366.67</v>
      </c>
      <c r="AB10" s="49" cm="1">
        <f t="array" ref="AB10">_xlfn.SWITCH($E$5,"Q4 2024",_xlfn.XLOOKUP($B10,$B$61:$B$66,AB$61:AB$66),
"Q3 2024",_xlfn.XLOOKUP($B10,$B$50:$B$55,AB$50:AB$55),
"Q2 2024",_xlfn.XLOOKUP($B10,$B$39:$B$44,AB$39:AB$44), "Q1 2024",_xlfn.XLOOKUP($B10,$B$28:$B$33,AB$28:AB$33))</f>
        <v>340</v>
      </c>
      <c r="AC10" s="49" cm="1">
        <f t="array" ref="AC10">_xlfn.SWITCH($E$5,"Q4 2024",_xlfn.XLOOKUP($B10,$B$61:$B$66,AC$61:AC$66),
"Q3 2024",_xlfn.XLOOKUP($B10,$B$50:$B$55,AC$50:AC$55),
"Q2 2024",_xlfn.XLOOKUP($B10,$B$39:$B$44,AC$39:AC$44), "Q1 2024",_xlfn.XLOOKUP($B10,$B$28:$B$33,AC$28:AC$33))</f>
        <v>200</v>
      </c>
      <c r="AD10" s="49" cm="1">
        <f t="array" ref="AD10">_xlfn.SWITCH($E$5,"Q4 2024",_xlfn.XLOOKUP($B10,$B$61:$B$66,AD$61:AD$66),
"Q3 2024",_xlfn.XLOOKUP($B10,$B$50:$B$55,AD$50:AD$55),
"Q2 2024",_xlfn.XLOOKUP($B10,$B$39:$B$44,AD$39:AD$44), "Q1 2024",_xlfn.XLOOKUP($B10,$B$28:$B$33,AD$28:AD$33))</f>
        <v>350</v>
      </c>
      <c r="AE10" s="49" cm="1">
        <f t="array" ref="AE10">_xlfn.SWITCH($E$5,"Q4 2024",_xlfn.XLOOKUP($B10,$B$61:$B$66,AE$61:AE$66),
"Q3 2024",_xlfn.XLOOKUP($B10,$B$50:$B$55,AE$50:AE$55),
"Q2 2024",_xlfn.XLOOKUP($B10,$B$39:$B$44,AE$39:AE$44), "Q1 2024",_xlfn.XLOOKUP($B10,$B$28:$B$33,AE$28:AE$33))</f>
        <v>450</v>
      </c>
      <c r="AF10" s="49" cm="1">
        <f t="array" ref="AF10">_xlfn.SWITCH($E$5,"Q4 2024",_xlfn.XLOOKUP($B10,$B$61:$B$66,AF$61:AF$66),
"Q3 2024",_xlfn.XLOOKUP($B10,$B$50:$B$55,AF$50:AF$55),
"Q2 2024",_xlfn.XLOOKUP($B10,$B$39:$B$44,AF$39:AF$44), "Q1 2024",_xlfn.XLOOKUP($B10,$B$28:$B$33,AF$28:AF$33))</f>
        <v>350</v>
      </c>
      <c r="AG10" s="49" cm="1">
        <f t="array" ref="AG10">_xlfn.SWITCH($E$5,"Q4 2024",_xlfn.XLOOKUP($B10,$B$61:$B$66,AG$61:AG$66),
"Q3 2024",_xlfn.XLOOKUP($B10,$B$50:$B$55,AG$50:AG$55),
"Q2 2024",_xlfn.XLOOKUP($B10,$B$39:$B$44,AG$39:AG$44), "Q1 2024",_xlfn.XLOOKUP($B10,$B$28:$B$33,AG$28:AG$33))</f>
        <v>380</v>
      </c>
      <c r="AH10" s="49" cm="1">
        <f t="array" ref="AH10">_xlfn.SWITCH($E$5,"Q4 2024",_xlfn.XLOOKUP($B10,$B$61:$B$66,AH$61:AH$66),
"Q3 2024",_xlfn.XLOOKUP($B10,$B$50:$B$55,AH$50:AH$55),
"Q2 2024",_xlfn.XLOOKUP($B10,$B$39:$B$44,AH$39:AH$44), "Q1 2024",_xlfn.XLOOKUP($B10,$B$28:$B$33,AH$28:AH$33))</f>
        <v>400</v>
      </c>
      <c r="AI10" s="49" cm="1">
        <f t="array" ref="AI10">_xlfn.SWITCH($E$5,"Q4 2024",_xlfn.XLOOKUP($B10,$B$61:$B$66,AI$61:AI$66),
"Q3 2024",_xlfn.XLOOKUP($B10,$B$50:$B$55,AI$50:AI$55),
"Q2 2024",_xlfn.XLOOKUP($B10,$B$39:$B$44,AI$39:AI$44), "Q1 2024",_xlfn.XLOOKUP($B10,$B$28:$B$33,AI$28:AI$33))</f>
        <v>388</v>
      </c>
      <c r="AJ10" s="49" cm="1">
        <f t="array" ref="AJ10">_xlfn.SWITCH($E$5,"Q4 2024",_xlfn.XLOOKUP($B10,$B$61:$B$66,AJ$61:AJ$66),
"Q3 2024",_xlfn.XLOOKUP($B10,$B$50:$B$55,AJ$50:AJ$55),
"Q2 2024",_xlfn.XLOOKUP($B10,$B$39:$B$44,AJ$39:AJ$44), "Q1 2024",_xlfn.XLOOKUP($B10,$B$28:$B$33,AJ$28:AJ$33))</f>
        <v>3303.57</v>
      </c>
      <c r="AK10" s="49" cm="1">
        <f t="array" ref="AK10">_xlfn.SWITCH($E$5,"Q4 2024",_xlfn.XLOOKUP($B10,$B$61:$B$66,AK$61:AK$66),
"Q3 2024",_xlfn.XLOOKUP($B10,$B$50:$B$55,AK$50:AK$55),
"Q2 2024",_xlfn.XLOOKUP($B10,$B$39:$B$44,AK$39:AK$44), "Q1 2024",_xlfn.XLOOKUP($B10,$B$28:$B$33,AK$28:AK$33))</f>
        <v>3333.33</v>
      </c>
      <c r="AL10" s="49" cm="1">
        <f t="array" ref="AL10">_xlfn.SWITCH($E$5,"Q4 2024",_xlfn.XLOOKUP($B10,$B$61:$B$66,AL$61:AL$66),
"Q3 2024",_xlfn.XLOOKUP($B10,$B$50:$B$55,AL$50:AL$55),
"Q2 2024",_xlfn.XLOOKUP($B10,$B$39:$B$44,AL$39:AL$44), "Q1 2024",_xlfn.XLOOKUP($B10,$B$28:$B$33,AL$28:AL$33))</f>
        <v>2846.15</v>
      </c>
      <c r="AM10" s="49" cm="1">
        <f t="array" ref="AM10">_xlfn.SWITCH($E$5,"Q4 2024",_xlfn.XLOOKUP($B10,$B$61:$B$66,AM$61:AM$66),
"Q3 2024",_xlfn.XLOOKUP($B10,$B$50:$B$55,AM$50:AM$55),
"Q2 2024",_xlfn.XLOOKUP($B10,$B$39:$B$44,AM$39:AM$44), "Q1 2024",_xlfn.XLOOKUP($B10,$B$28:$B$33,AM$28:AM$33))</f>
        <v>2500</v>
      </c>
      <c r="AN10" s="49" cm="1">
        <f t="array" ref="AN10">_xlfn.SWITCH($E$5,"Q4 2024",_xlfn.XLOOKUP($B10,$B$61:$B$66,AN$61:AN$66),
"Q3 2024",_xlfn.XLOOKUP($B10,$B$50:$B$55,AN$50:AN$55),
"Q2 2024",_xlfn.XLOOKUP($B10,$B$39:$B$44,AN$39:AN$44), "Q1 2024",_xlfn.XLOOKUP($B10,$B$28:$B$33,AN$28:AN$33))</f>
        <v>3000</v>
      </c>
      <c r="AO10" s="49" cm="1">
        <f t="array" ref="AO10">_xlfn.SWITCH($E$5,"Q4 2024",_xlfn.XLOOKUP($B10,$B$61:$B$66,AO$61:AO$66),
"Q3 2024",_xlfn.XLOOKUP($B10,$B$50:$B$55,AO$50:AO$55),
"Q2 2024",_xlfn.XLOOKUP($B10,$B$39:$B$44,AO$39:AO$44), "Q1 2024",_xlfn.XLOOKUP($B10,$B$28:$B$33,AO$28:AO$33))</f>
        <v>2000</v>
      </c>
      <c r="AP10" s="49" cm="1">
        <f t="array" ref="AP10">_xlfn.SWITCH($E$5,"Q4 2024",_xlfn.XLOOKUP($B10,$B$61:$B$66,AP$61:AP$66),
"Q3 2024",_xlfn.XLOOKUP($B10,$B$50:$B$55,AP$50:AP$55),
"Q2 2024",_xlfn.XLOOKUP($B10,$B$39:$B$44,AP$39:AP$44), "Q1 2024",_xlfn.XLOOKUP($B10,$B$28:$B$33,AP$28:AP$33))</f>
        <v>2200</v>
      </c>
      <c r="AQ10" s="49" cm="1">
        <f t="array" ref="AQ10">_xlfn.SWITCH($E$5,"Q4 2024",_xlfn.XLOOKUP($B10,$B$61:$B$66,AQ$61:AQ$66),
"Q3 2024",_xlfn.XLOOKUP($B10,$B$50:$B$55,AQ$50:AQ$55),
"Q2 2024",_xlfn.XLOOKUP($B10,$B$39:$B$44,AQ$39:AQ$44), "Q1 2024",_xlfn.XLOOKUP($B10,$B$28:$B$33,AQ$28:AQ$33))</f>
        <v>2300</v>
      </c>
      <c r="AR10" s="49" cm="1">
        <f t="array" ref="AR10">_xlfn.SWITCH($E$5,"Q4 2024",_xlfn.XLOOKUP($B10,$B$61:$B$66,AR$61:AR$66),
"Q3 2024",_xlfn.XLOOKUP($B10,$B$50:$B$55,AR$50:AR$55),
"Q2 2024",_xlfn.XLOOKUP($B10,$B$39:$B$44,AR$39:AR$44), "Q1 2024",_xlfn.XLOOKUP($B10,$B$28:$B$33,AR$28:AR$33))</f>
        <v>2500</v>
      </c>
    </row>
    <row r="11" spans="1:44" s="44" customFormat="1" ht="14.25" customHeight="1" x14ac:dyDescent="0.25">
      <c r="A11" s="43"/>
      <c r="B11" s="48" t="s">
        <v>25</v>
      </c>
      <c r="C11" s="49" cm="1">
        <f t="array" ref="C11">_xlfn.SWITCH($E$5,"Q4 2024",_xlfn.XLOOKUP($B11,$B$61:$B$66,C$61:C$66),
"Q3 2024",_xlfn.XLOOKUP($B11,$B$50:$B$55,C$50:C$55),
"Q2 2024",_xlfn.XLOOKUP($B11,$B$39:$B$44,C$39:C$44), "Q1 2024",_xlfn.XLOOKUP($B11,$B$28:$B$33,C$28:C$33))</f>
        <v>150000</v>
      </c>
      <c r="D11" s="49" cm="1">
        <f t="array" ref="D11">_xlfn.SWITCH($E$5,"Q4 2024",_xlfn.XLOOKUP($B11,$B$61:$B$66,D$61:D$66),
"Q3 2024",_xlfn.XLOOKUP($B11,$B$50:$B$55,D$50:D$55),
"Q2 2024",_xlfn.XLOOKUP($B11,$B$39:$B$44,D$39:D$44), "Q1 2024",_xlfn.XLOOKUP($B11,$B$28:$B$33,D$28:D$33))</f>
        <v>125000</v>
      </c>
      <c r="E11" s="49" cm="1">
        <f t="array" ref="E11">_xlfn.SWITCH($E$5,"Q4 2024",_xlfn.XLOOKUP($B11,$B$61:$B$66,E$61:E$66),
"Q3 2024",_xlfn.XLOOKUP($B11,$B$50:$B$55,E$50:E$55),
"Q2 2024",_xlfn.XLOOKUP($B11,$B$39:$B$44,E$39:E$44), "Q1 2024",_xlfn.XLOOKUP($B11,$B$28:$B$33,E$28:E$33))</f>
        <v>120000</v>
      </c>
      <c r="F11" s="49" cm="1">
        <f t="array" ref="F11">_xlfn.SWITCH($E$5,"Q4 2024",_xlfn.XLOOKUP($B11,$B$61:$B$66,F$61:F$66),
"Q3 2024",_xlfn.XLOOKUP($B11,$B$50:$B$55,F$50:F$55),
"Q2 2024",_xlfn.XLOOKUP($B11,$B$39:$B$44,F$39:F$44), "Q1 2024",_xlfn.XLOOKUP($B11,$B$28:$B$33,F$28:F$33))</f>
        <v>160000</v>
      </c>
      <c r="G11" s="49" cm="1">
        <f t="array" ref="G11">_xlfn.SWITCH($E$5,"Q4 2024",_xlfn.XLOOKUP($B11,$B$61:$B$66,G$61:G$66),
"Q3 2024",_xlfn.XLOOKUP($B11,$B$50:$B$55,G$50:G$55),
"Q2 2024",_xlfn.XLOOKUP($B11,$B$39:$B$44,G$39:G$44), "Q1 2024",_xlfn.XLOOKUP($B11,$B$28:$B$33,G$28:G$33))</f>
        <v>145000</v>
      </c>
      <c r="H11" s="49" cm="1">
        <f t="array" ref="H11">_xlfn.SWITCH($E$5,"Q4 2024",_xlfn.XLOOKUP($B11,$B$61:$B$66,H$61:H$66),
"Q3 2024",_xlfn.XLOOKUP($B11,$B$50:$B$55,H$50:H$55),
"Q2 2024",_xlfn.XLOOKUP($B11,$B$39:$B$44,H$39:H$44), "Q1 2024",_xlfn.XLOOKUP($B11,$B$28:$B$33,H$28:H$33))</f>
        <v>160000</v>
      </c>
      <c r="I11" s="49" cm="1">
        <f t="array" ref="I11">_xlfn.SWITCH($E$5,"Q4 2024",_xlfn.XLOOKUP($B11,$B$61:$B$66,I$61:I$66),
"Q3 2024",_xlfn.XLOOKUP($B11,$B$50:$B$55,I$50:I$55),
"Q2 2024",_xlfn.XLOOKUP($B11,$B$39:$B$44,I$39:I$44), "Q1 2024",_xlfn.XLOOKUP($B11,$B$28:$B$33,I$28:I$33))</f>
        <v>130000</v>
      </c>
      <c r="J11" s="49" cm="1">
        <f t="array" ref="J11">_xlfn.SWITCH($E$5,"Q4 2024",_xlfn.XLOOKUP($B11,$B$61:$B$66,J$61:J$66),
"Q3 2024",_xlfn.XLOOKUP($B11,$B$50:$B$55,J$50:J$55),
"Q2 2024",_xlfn.XLOOKUP($B11,$B$39:$B$44,J$39:J$44), "Q1 2024",_xlfn.XLOOKUP($B11,$B$28:$B$33,J$28:J$33))</f>
        <v>150000</v>
      </c>
      <c r="K11" s="49" cm="1">
        <f t="array" ref="K11">_xlfn.SWITCH($E$5,"Q4 2024",_xlfn.XLOOKUP($B11,$B$61:$B$66,K$61:K$66),
"Q3 2024",_xlfn.XLOOKUP($B11,$B$50:$B$55,K$50:K$55),
"Q2 2024",_xlfn.XLOOKUP($B11,$B$39:$B$44,K$39:K$44), "Q1 2024",_xlfn.XLOOKUP($B11,$B$28:$B$33,K$28:K$33))</f>
        <v>125000</v>
      </c>
      <c r="L11" s="77" cm="1">
        <f t="array" ref="L11">_xlfn.SWITCH($E$5,"Q4 2024",_xlfn.XLOOKUP($B11,$B$61:$B$66,L$61:L$66),
"Q3 2024",_xlfn.XLOOKUP($B11,$B$50:$B$55,L$50:L$55),
"Q2 2024",_xlfn.XLOOKUP($B11,$B$39:$B$44,L$39:L$44), "Q1 2024",_xlfn.XLOOKUP($B11,$B$28:$B$33,L$28:L$33))</f>
        <v>56</v>
      </c>
      <c r="M11" s="77" cm="1">
        <f t="array" ref="M11">_xlfn.SWITCH($E$5,"Q4 2024",_xlfn.XLOOKUP($B11,$B$61:$B$66,M$61:M$66),
"Q3 2024",_xlfn.XLOOKUP($B11,$B$50:$B$55,M$50:M$55),
"Q2 2024",_xlfn.XLOOKUP($B11,$B$39:$B$44,M$39:M$44), "Q1 2024",_xlfn.XLOOKUP($B11,$B$28:$B$33,M$28:M$33))</f>
        <v>65</v>
      </c>
      <c r="N11" s="77" cm="1">
        <f t="array" ref="N11">_xlfn.SWITCH($E$5,"Q4 2024",_xlfn.XLOOKUP($B11,$B$61:$B$66,N$61:N$66),
"Q3 2024",_xlfn.XLOOKUP($B11,$B$50:$B$55,N$50:N$55),
"Q2 2024",_xlfn.XLOOKUP($B11,$B$39:$B$44,N$39:N$44), "Q1 2024",_xlfn.XLOOKUP($B11,$B$28:$B$33,N$28:N$33))</f>
        <v>50</v>
      </c>
      <c r="O11" s="77" cm="1">
        <f t="array" ref="O11">_xlfn.SWITCH($E$5,"Q4 2024",_xlfn.XLOOKUP($B11,$B$61:$B$66,O$61:O$66),
"Q3 2024",_xlfn.XLOOKUP($B11,$B$50:$B$55,O$50:O$55),
"Q2 2024",_xlfn.XLOOKUP($B11,$B$39:$B$44,O$39:O$44), "Q1 2024",_xlfn.XLOOKUP($B11,$B$28:$B$33,O$28:O$33))</f>
        <v>20</v>
      </c>
      <c r="P11" s="77" cm="1">
        <f t="array" ref="P11">_xlfn.SWITCH($E$5,"Q4 2024",_xlfn.XLOOKUP($B11,$B$61:$B$66,P$61:P$66),
"Q3 2024",_xlfn.XLOOKUP($B11,$B$50:$B$55,P$50:P$55),
"Q2 2024",_xlfn.XLOOKUP($B11,$B$39:$B$44,P$39:P$44), "Q1 2024",_xlfn.XLOOKUP($B11,$B$28:$B$33,P$28:P$33))</f>
        <v>25</v>
      </c>
      <c r="Q11" s="77" cm="1">
        <f t="array" ref="Q11">_xlfn.SWITCH($E$5,"Q4 2024",_xlfn.XLOOKUP($B11,$B$61:$B$66,Q$61:Q$66),
"Q3 2024",_xlfn.XLOOKUP($B11,$B$50:$B$55,Q$50:Q$55),
"Q2 2024",_xlfn.XLOOKUP($B11,$B$39:$B$44,Q$39:Q$44), "Q1 2024",_xlfn.XLOOKUP($B11,$B$28:$B$33,Q$28:Q$33))</f>
        <v>35</v>
      </c>
      <c r="R11" s="77" cm="1">
        <f t="array" ref="R11">_xlfn.SWITCH($E$5,"Q4 2024",_xlfn.XLOOKUP($B11,$B$61:$B$66,R$61:R$66),
"Q3 2024",_xlfn.XLOOKUP($B11,$B$50:$B$55,R$50:R$55),
"Q2 2024",_xlfn.XLOOKUP($B11,$B$39:$B$44,R$39:R$44), "Q1 2024",_xlfn.XLOOKUP($B11,$B$28:$B$33,R$28:R$33))</f>
        <v>22</v>
      </c>
      <c r="S11" s="77" cm="1">
        <f t="array" ref="S11">_xlfn.SWITCH($E$5,"Q4 2024",_xlfn.XLOOKUP($B11,$B$61:$B$66,S$61:S$66),
"Q3 2024",_xlfn.XLOOKUP($B11,$B$50:$B$55,S$50:S$55),
"Q2 2024",_xlfn.XLOOKUP($B11,$B$39:$B$44,S$39:S$44), "Q1 2024",_xlfn.XLOOKUP($B11,$B$28:$B$33,S$28:S$33))</f>
        <v>17</v>
      </c>
      <c r="T11" s="77" cm="1">
        <f t="array" ref="T11">_xlfn.SWITCH($E$5,"Q4 2024",_xlfn.XLOOKUP($B11,$B$61:$B$66,T$61:T$66),
"Q3 2024",_xlfn.XLOOKUP($B11,$B$50:$B$55,T$50:T$55),
"Q2 2024",_xlfn.XLOOKUP($B11,$B$39:$B$44,T$39:T$44), "Q1 2024",_xlfn.XLOOKUP($B11,$B$28:$B$33,T$28:T$33))</f>
        <v>17</v>
      </c>
      <c r="U11" s="77" cm="1">
        <f t="array" ref="U11">_xlfn.SWITCH($E$5,"Q4 2024",_xlfn.XLOOKUP($B11,$B$61:$B$66,U$61:U$66),
"Q3 2024",_xlfn.XLOOKUP($B11,$B$50:$B$55,U$50:U$55),
"Q2 2024",_xlfn.XLOOKUP($B11,$B$39:$B$44,U$39:U$44), "Q1 2024",_xlfn.XLOOKUP($B11,$B$28:$B$33,U$28:U$33))</f>
        <v>25</v>
      </c>
      <c r="V11" s="77" cm="1">
        <f t="array" ref="V11">_xlfn.SWITCH($E$5,"Q4 2024",_xlfn.XLOOKUP($B11,$B$61:$B$66,V$61:V$66),
"Q3 2024",_xlfn.XLOOKUP($B11,$B$50:$B$55,V$50:V$55),
"Q2 2024",_xlfn.XLOOKUP($B11,$B$39:$B$44,V$39:V$44), "Q1 2024",_xlfn.XLOOKUP($B11,$B$28:$B$33,V$28:V$33))</f>
        <v>17</v>
      </c>
      <c r="W11" s="77" cm="1">
        <f t="array" ref="W11">_xlfn.SWITCH($E$5,"Q4 2024",_xlfn.XLOOKUP($B11,$B$61:$B$66,W$61:W$66),
"Q3 2024",_xlfn.XLOOKUP($B11,$B$50:$B$55,W$50:W$55),
"Q2 2024",_xlfn.XLOOKUP($B11,$B$39:$B$44,W$39:W$44), "Q1 2024",_xlfn.XLOOKUP($B11,$B$28:$B$33,W$28:W$33))</f>
        <v>21</v>
      </c>
      <c r="X11" s="49" cm="1">
        <f t="array" ref="X11">_xlfn.SWITCH($E$5,"Q4 2024",_xlfn.XLOOKUP($B11,$B$61:$B$66,X$61:X$66),
"Q3 2024",_xlfn.XLOOKUP($B11,$B$50:$B$55,X$50:X$55),
"Q2 2024",_xlfn.XLOOKUP($B11,$B$39:$B$44,X$39:X$44), "Q1 2024",_xlfn.XLOOKUP($B11,$B$28:$B$33,X$28:X$33))</f>
        <v>9000</v>
      </c>
      <c r="Y11" s="49" cm="1">
        <f t="array" ref="Y11">_xlfn.SWITCH($E$5,"Q4 2024",_xlfn.XLOOKUP($B11,$B$61:$B$66,Y$61:Y$66),
"Q3 2024",_xlfn.XLOOKUP($B11,$B$50:$B$55,Y$50:Y$55),
"Q2 2024",_xlfn.XLOOKUP($B11,$B$39:$B$44,Y$39:Y$44), "Q1 2024",_xlfn.XLOOKUP($B11,$B$28:$B$33,Y$28:Y$33))</f>
        <v>6500</v>
      </c>
      <c r="Z11" s="49" cm="1">
        <f t="array" ref="Z11">_xlfn.SWITCH($E$5,"Q4 2024",_xlfn.XLOOKUP($B11,$B$61:$B$66,Z$61:Z$66),
"Q3 2024",_xlfn.XLOOKUP($B11,$B$50:$B$55,Z$50:Z$55),
"Q2 2024",_xlfn.XLOOKUP($B11,$B$39:$B$44,Z$39:Z$44), "Q1 2024",_xlfn.XLOOKUP($B11,$B$28:$B$33,Z$28:Z$33))</f>
        <v>6500</v>
      </c>
      <c r="AA11" s="49" cm="1">
        <f t="array" ref="AA11">_xlfn.SWITCH($E$5,"Q4 2024",_xlfn.XLOOKUP($B11,$B$61:$B$66,AA$61:AA$66),
"Q3 2024",_xlfn.XLOOKUP($B11,$B$50:$B$55,AA$50:AA$55),
"Q2 2024",_xlfn.XLOOKUP($B11,$B$39:$B$44,AA$39:AA$44), "Q1 2024",_xlfn.XLOOKUP($B11,$B$28:$B$33,AA$28:AA$33))</f>
        <v>409.09</v>
      </c>
      <c r="AB11" s="49" cm="1">
        <f t="array" ref="AB11">_xlfn.SWITCH($E$5,"Q4 2024",_xlfn.XLOOKUP($B11,$B$61:$B$66,AB$61:AB$66),
"Q3 2024",_xlfn.XLOOKUP($B11,$B$50:$B$55,AB$50:AB$55),
"Q2 2024",_xlfn.XLOOKUP($B11,$B$39:$B$44,AB$39:AB$44), "Q1 2024",_xlfn.XLOOKUP($B11,$B$28:$B$33,AB$28:AB$33))</f>
        <v>382.35</v>
      </c>
      <c r="AC11" s="49" cm="1">
        <f t="array" ref="AC11">_xlfn.SWITCH($E$5,"Q4 2024",_xlfn.XLOOKUP($B11,$B$61:$B$66,AC$61:AC$66),
"Q3 2024",_xlfn.XLOOKUP($B11,$B$50:$B$55,AC$50:AC$55),
"Q2 2024",_xlfn.XLOOKUP($B11,$B$39:$B$44,AC$39:AC$44), "Q1 2024",_xlfn.XLOOKUP($B11,$B$28:$B$33,AC$28:AC$33))</f>
        <v>382.35</v>
      </c>
      <c r="AD11" s="49" cm="1">
        <f t="array" ref="AD11">_xlfn.SWITCH($E$5,"Q4 2024",_xlfn.XLOOKUP($B11,$B$61:$B$66,AD$61:AD$66),
"Q3 2024",_xlfn.XLOOKUP($B11,$B$50:$B$55,AD$50:AD$55),
"Q2 2024",_xlfn.XLOOKUP($B11,$B$39:$B$44,AD$39:AD$44), "Q1 2024",_xlfn.XLOOKUP($B11,$B$28:$B$33,AD$28:AD$33))</f>
        <v>350</v>
      </c>
      <c r="AE11" s="49" cm="1">
        <f t="array" ref="AE11">_xlfn.SWITCH($E$5,"Q4 2024",_xlfn.XLOOKUP($B11,$B$61:$B$66,AE$61:AE$66),
"Q3 2024",_xlfn.XLOOKUP($B11,$B$50:$B$55,AE$50:AE$55),
"Q2 2024",_xlfn.XLOOKUP($B11,$B$39:$B$44,AE$39:AE$44), "Q1 2024",_xlfn.XLOOKUP($B11,$B$28:$B$33,AE$28:AE$33))</f>
        <v>450</v>
      </c>
      <c r="AF11" s="49" cm="1">
        <f t="array" ref="AF11">_xlfn.SWITCH($E$5,"Q4 2024",_xlfn.XLOOKUP($B11,$B$61:$B$66,AF$61:AF$66),
"Q3 2024",_xlfn.XLOOKUP($B11,$B$50:$B$55,AF$50:AF$55),
"Q2 2024",_xlfn.XLOOKUP($B11,$B$39:$B$44,AF$39:AF$44), "Q1 2024",_xlfn.XLOOKUP($B11,$B$28:$B$33,AF$28:AF$33))</f>
        <v>350</v>
      </c>
      <c r="AG11" s="49" cm="1">
        <f t="array" ref="AG11">_xlfn.SWITCH($E$5,"Q4 2024",_xlfn.XLOOKUP($B11,$B$61:$B$66,AG$61:AG$66),
"Q3 2024",_xlfn.XLOOKUP($B11,$B$50:$B$55,AG$50:AG$55),
"Q2 2024",_xlfn.XLOOKUP($B11,$B$39:$B$44,AG$39:AG$44), "Q1 2024",_xlfn.XLOOKUP($B11,$B$28:$B$33,AG$28:AG$33))</f>
        <v>365</v>
      </c>
      <c r="AH11" s="49" cm="1">
        <f t="array" ref="AH11">_xlfn.SWITCH($E$5,"Q4 2024",_xlfn.XLOOKUP($B11,$B$61:$B$66,AH$61:AH$66),
"Q3 2024",_xlfn.XLOOKUP($B11,$B$50:$B$55,AH$50:AH$55),
"Q2 2024",_xlfn.XLOOKUP($B11,$B$39:$B$44,AH$39:AH$44), "Q1 2024",_xlfn.XLOOKUP($B11,$B$28:$B$33,AH$28:AH$33))</f>
        <v>350</v>
      </c>
      <c r="AI11" s="49" cm="1">
        <f t="array" ref="AI11">_xlfn.SWITCH($E$5,"Q4 2024",_xlfn.XLOOKUP($B11,$B$61:$B$66,AI$61:AI$66),
"Q3 2024",_xlfn.XLOOKUP($B11,$B$50:$B$55,AI$50:AI$55),
"Q2 2024",_xlfn.XLOOKUP($B11,$B$39:$B$44,AI$39:AI$44), "Q1 2024",_xlfn.XLOOKUP($B11,$B$28:$B$33,AI$28:AI$33))</f>
        <v>352</v>
      </c>
      <c r="AJ11" s="49" cm="1">
        <f t="array" ref="AJ11">_xlfn.SWITCH($E$5,"Q4 2024",_xlfn.XLOOKUP($B11,$B$61:$B$66,AJ$61:AJ$66),
"Q3 2024",_xlfn.XLOOKUP($B11,$B$50:$B$55,AJ$50:AJ$55),
"Q2 2024",_xlfn.XLOOKUP($B11,$B$39:$B$44,AJ$39:AJ$44), "Q1 2024",_xlfn.XLOOKUP($B11,$B$28:$B$33,AJ$28:AJ$33))</f>
        <v>2678.57</v>
      </c>
      <c r="AK11" s="49" cm="1">
        <f t="array" ref="AK11">_xlfn.SWITCH($E$5,"Q4 2024",_xlfn.XLOOKUP($B11,$B$61:$B$66,AK$61:AK$66),
"Q3 2024",_xlfn.XLOOKUP($B11,$B$50:$B$55,AK$50:AK$55),
"Q2 2024",_xlfn.XLOOKUP($B11,$B$39:$B$44,AK$39:AK$44), "Q1 2024",_xlfn.XLOOKUP($B11,$B$28:$B$33,AK$28:AK$33))</f>
        <v>1923.08</v>
      </c>
      <c r="AL11" s="49" cm="1">
        <f t="array" ref="AL11">_xlfn.SWITCH($E$5,"Q4 2024",_xlfn.XLOOKUP($B11,$B$61:$B$66,AL$61:AL$66),
"Q3 2024",_xlfn.XLOOKUP($B11,$B$50:$B$55,AL$50:AL$55),
"Q2 2024",_xlfn.XLOOKUP($B11,$B$39:$B$44,AL$39:AL$44), "Q1 2024",_xlfn.XLOOKUP($B11,$B$28:$B$33,AL$28:AL$33))</f>
        <v>2400</v>
      </c>
      <c r="AM11" s="49" cm="1">
        <f t="array" ref="AM11">_xlfn.SWITCH($E$5,"Q4 2024",_xlfn.XLOOKUP($B11,$B$61:$B$66,AM$61:AM$66),
"Q3 2024",_xlfn.XLOOKUP($B11,$B$50:$B$55,AM$50:AM$55),
"Q2 2024",_xlfn.XLOOKUP($B11,$B$39:$B$44,AM$39:AM$44), "Q1 2024",_xlfn.XLOOKUP($B11,$B$28:$B$33,AM$28:AM$33))</f>
        <v>2600</v>
      </c>
      <c r="AN11" s="49" cm="1">
        <f t="array" ref="AN11">_xlfn.SWITCH($E$5,"Q4 2024",_xlfn.XLOOKUP($B11,$B$61:$B$66,AN$61:AN$66),
"Q3 2024",_xlfn.XLOOKUP($B11,$B$50:$B$55,AN$50:AN$55),
"Q2 2024",_xlfn.XLOOKUP($B11,$B$39:$B$44,AN$39:AN$44), "Q1 2024",_xlfn.XLOOKUP($B11,$B$28:$B$33,AN$28:AN$33))</f>
        <v>1800</v>
      </c>
      <c r="AO11" s="49" cm="1">
        <f t="array" ref="AO11">_xlfn.SWITCH($E$5,"Q4 2024",_xlfn.XLOOKUP($B11,$B$61:$B$66,AO$61:AO$66),
"Q3 2024",_xlfn.XLOOKUP($B11,$B$50:$B$55,AO$50:AO$55),
"Q2 2024",_xlfn.XLOOKUP($B11,$B$39:$B$44,AO$39:AO$44), "Q1 2024",_xlfn.XLOOKUP($B11,$B$28:$B$33,AO$28:AO$33))</f>
        <v>2200</v>
      </c>
      <c r="AP11" s="49" cm="1">
        <f t="array" ref="AP11">_xlfn.SWITCH($E$5,"Q4 2024",_xlfn.XLOOKUP($B11,$B$61:$B$66,AP$61:AP$66),
"Q3 2024",_xlfn.XLOOKUP($B11,$B$50:$B$55,AP$50:AP$55),
"Q2 2024",_xlfn.XLOOKUP($B11,$B$39:$B$44,AP$39:AP$44), "Q1 2024",_xlfn.XLOOKUP($B11,$B$28:$B$33,AP$28:AP$33))</f>
        <v>2200</v>
      </c>
      <c r="AQ11" s="49" cm="1">
        <f t="array" ref="AQ11">_xlfn.SWITCH($E$5,"Q4 2024",_xlfn.XLOOKUP($B11,$B$61:$B$66,AQ$61:AQ$66),
"Q3 2024",_xlfn.XLOOKUP($B11,$B$50:$B$55,AQ$50:AQ$55),
"Q2 2024",_xlfn.XLOOKUP($B11,$B$39:$B$44,AQ$39:AQ$44), "Q1 2024",_xlfn.XLOOKUP($B11,$B$28:$B$33,AQ$28:AQ$33))</f>
        <v>2300</v>
      </c>
      <c r="AR11" s="49" cm="1">
        <f t="array" ref="AR11">_xlfn.SWITCH($E$5,"Q4 2024",_xlfn.XLOOKUP($B11,$B$61:$B$66,AR$61:AR$66),
"Q3 2024",_xlfn.XLOOKUP($B11,$B$50:$B$55,AR$50:AR$55),
"Q2 2024",_xlfn.XLOOKUP($B11,$B$39:$B$44,AR$39:AR$44), "Q1 2024",_xlfn.XLOOKUP($B11,$B$28:$B$33,AR$28:AR$33))</f>
        <v>2500</v>
      </c>
    </row>
    <row r="12" spans="1:44" s="44" customFormat="1" ht="14.25" customHeight="1" x14ac:dyDescent="0.25">
      <c r="A12" s="43"/>
      <c r="B12" s="48" t="s">
        <v>26</v>
      </c>
      <c r="C12" s="49" cm="1">
        <f t="array" ref="C12">_xlfn.SWITCH($E$5,"Q4 2024",_xlfn.XLOOKUP($B12,$B$61:$B$66,C$61:C$66),
"Q3 2024",_xlfn.XLOOKUP($B12,$B$50:$B$55,C$50:C$55),
"Q2 2024",_xlfn.XLOOKUP($B12,$B$39:$B$44,C$39:C$44), "Q1 2024",_xlfn.XLOOKUP($B12,$B$28:$B$33,C$28:C$33))</f>
        <v>155000</v>
      </c>
      <c r="D12" s="49" cm="1">
        <f t="array" ref="D12">_xlfn.SWITCH($E$5,"Q4 2024",_xlfn.XLOOKUP($B12,$B$61:$B$66,D$61:D$66),
"Q3 2024",_xlfn.XLOOKUP($B12,$B$50:$B$55,D$50:D$55),
"Q2 2024",_xlfn.XLOOKUP($B12,$B$39:$B$44,D$39:D$44), "Q1 2024",_xlfn.XLOOKUP($B12,$B$28:$B$33,D$28:D$33))</f>
        <v>155000</v>
      </c>
      <c r="E12" s="49" cm="1">
        <f t="array" ref="E12">_xlfn.SWITCH($E$5,"Q4 2024",_xlfn.XLOOKUP($B12,$B$61:$B$66,E$61:E$66),
"Q3 2024",_xlfn.XLOOKUP($B12,$B$50:$B$55,E$50:E$55),
"Q2 2024",_xlfn.XLOOKUP($B12,$B$39:$B$44,E$39:E$44), "Q1 2024",_xlfn.XLOOKUP($B12,$B$28:$B$33,E$28:E$33))</f>
        <v>155000</v>
      </c>
      <c r="F12" s="49" cm="1">
        <f t="array" ref="F12">_xlfn.SWITCH($E$5,"Q4 2024",_xlfn.XLOOKUP($B12,$B$61:$B$66,F$61:F$66),
"Q3 2024",_xlfn.XLOOKUP($B12,$B$50:$B$55,F$50:F$55),
"Q2 2024",_xlfn.XLOOKUP($B12,$B$39:$B$44,F$39:F$44), "Q1 2024",_xlfn.XLOOKUP($B12,$B$28:$B$33,F$28:F$33))</f>
        <v>160000</v>
      </c>
      <c r="G12" s="49" cm="1">
        <f t="array" ref="G12">_xlfn.SWITCH($E$5,"Q4 2024",_xlfn.XLOOKUP($B12,$B$61:$B$66,G$61:G$66),
"Q3 2024",_xlfn.XLOOKUP($B12,$B$50:$B$55,G$50:G$55),
"Q2 2024",_xlfn.XLOOKUP($B12,$B$39:$B$44,G$39:G$44), "Q1 2024",_xlfn.XLOOKUP($B12,$B$28:$B$33,G$28:G$33))</f>
        <v>145000</v>
      </c>
      <c r="H12" s="49" cm="1">
        <f t="array" ref="H12">_xlfn.SWITCH($E$5,"Q4 2024",_xlfn.XLOOKUP($B12,$B$61:$B$66,H$61:H$66),
"Q3 2024",_xlfn.XLOOKUP($B12,$B$50:$B$55,H$50:H$55),
"Q2 2024",_xlfn.XLOOKUP($B12,$B$39:$B$44,H$39:H$44), "Q1 2024",_xlfn.XLOOKUP($B12,$B$28:$B$33,H$28:H$33))</f>
        <v>160000</v>
      </c>
      <c r="I12" s="49" cm="1">
        <f t="array" ref="I12">_xlfn.SWITCH($E$5,"Q4 2024",_xlfn.XLOOKUP($B12,$B$61:$B$66,I$61:I$66),
"Q3 2024",_xlfn.XLOOKUP($B12,$B$50:$B$55,I$50:I$55),
"Q2 2024",_xlfn.XLOOKUP($B12,$B$39:$B$44,I$39:I$44), "Q1 2024",_xlfn.XLOOKUP($B12,$B$28:$B$33,I$28:I$33))</f>
        <v>150000</v>
      </c>
      <c r="J12" s="49" cm="1">
        <f t="array" ref="J12">_xlfn.SWITCH($E$5,"Q4 2024",_xlfn.XLOOKUP($B12,$B$61:$B$66,J$61:J$66),
"Q3 2024",_xlfn.XLOOKUP($B12,$B$50:$B$55,J$50:J$55),
"Q2 2024",_xlfn.XLOOKUP($B12,$B$39:$B$44,J$39:J$44), "Q1 2024",_xlfn.XLOOKUP($B12,$B$28:$B$33,J$28:J$33))</f>
        <v>155000</v>
      </c>
      <c r="K12" s="49" cm="1">
        <f t="array" ref="K12">_xlfn.SWITCH($E$5,"Q4 2024",_xlfn.XLOOKUP($B12,$B$61:$B$66,K$61:K$66),
"Q3 2024",_xlfn.XLOOKUP($B12,$B$50:$B$55,K$50:K$55),
"Q2 2024",_xlfn.XLOOKUP($B12,$B$39:$B$44,K$39:K$44), "Q1 2024",_xlfn.XLOOKUP($B12,$B$28:$B$33,K$28:K$33))</f>
        <v>160000</v>
      </c>
      <c r="L12" s="77" cm="1">
        <f t="array" ref="L12">_xlfn.SWITCH($E$5,"Q4 2024",_xlfn.XLOOKUP($B12,$B$61:$B$66,L$61:L$66),
"Q3 2024",_xlfn.XLOOKUP($B12,$B$50:$B$55,L$50:L$55),
"Q2 2024",_xlfn.XLOOKUP($B12,$B$39:$B$44,L$39:L$44), "Q1 2024",_xlfn.XLOOKUP($B12,$B$28:$B$33,L$28:L$33))</f>
        <v>62</v>
      </c>
      <c r="M12" s="77" cm="1">
        <f t="array" ref="M12">_xlfn.SWITCH($E$5,"Q4 2024",_xlfn.XLOOKUP($B12,$B$61:$B$66,M$61:M$66),
"Q3 2024",_xlfn.XLOOKUP($B12,$B$50:$B$55,M$50:M$55),
"Q2 2024",_xlfn.XLOOKUP($B12,$B$39:$B$44,M$39:M$44), "Q1 2024",_xlfn.XLOOKUP($B12,$B$28:$B$33,M$28:M$33))</f>
        <v>52</v>
      </c>
      <c r="N12" s="77" cm="1">
        <f t="array" ref="N12">_xlfn.SWITCH($E$5,"Q4 2024",_xlfn.XLOOKUP($B12,$B$61:$B$66,N$61:N$66),
"Q3 2024",_xlfn.XLOOKUP($B12,$B$50:$B$55,N$50:N$55),
"Q2 2024",_xlfn.XLOOKUP($B12,$B$39:$B$44,N$39:N$44), "Q1 2024",_xlfn.XLOOKUP($B12,$B$28:$B$33,N$28:N$33))</f>
        <v>52</v>
      </c>
      <c r="O12" s="77" cm="1">
        <f t="array" ref="O12">_xlfn.SWITCH($E$5,"Q4 2024",_xlfn.XLOOKUP($B12,$B$61:$B$66,O$61:O$66),
"Q3 2024",_xlfn.XLOOKUP($B12,$B$50:$B$55,O$50:O$55),
"Q2 2024",_xlfn.XLOOKUP($B12,$B$39:$B$44,O$39:O$44), "Q1 2024",_xlfn.XLOOKUP($B12,$B$28:$B$33,O$28:O$33))</f>
        <v>20</v>
      </c>
      <c r="P12" s="77" cm="1">
        <f t="array" ref="P12">_xlfn.SWITCH($E$5,"Q4 2024",_xlfn.XLOOKUP($B12,$B$61:$B$66,P$61:P$66),
"Q3 2024",_xlfn.XLOOKUP($B12,$B$50:$B$55,P$50:P$55),
"Q2 2024",_xlfn.XLOOKUP($B12,$B$39:$B$44,P$39:P$44), "Q1 2024",_xlfn.XLOOKUP($B12,$B$28:$B$33,P$28:P$33))</f>
        <v>25</v>
      </c>
      <c r="Q12" s="77" cm="1">
        <f t="array" ref="Q12">_xlfn.SWITCH($E$5,"Q4 2024",_xlfn.XLOOKUP($B12,$B$61:$B$66,Q$61:Q$66),
"Q3 2024",_xlfn.XLOOKUP($B12,$B$50:$B$55,Q$50:Q$55),
"Q2 2024",_xlfn.XLOOKUP($B12,$B$39:$B$44,Q$39:Q$44), "Q1 2024",_xlfn.XLOOKUP($B12,$B$28:$B$33,Q$28:Q$33))</f>
        <v>35</v>
      </c>
      <c r="R12" s="77" cm="1">
        <f t="array" ref="R12">_xlfn.SWITCH($E$5,"Q4 2024",_xlfn.XLOOKUP($B12,$B$61:$B$66,R$61:R$66),
"Q3 2024",_xlfn.XLOOKUP($B12,$B$50:$B$55,R$50:R$55),
"Q2 2024",_xlfn.XLOOKUP($B12,$B$39:$B$44,R$39:R$44), "Q1 2024",_xlfn.XLOOKUP($B12,$B$28:$B$33,R$28:R$33))</f>
        <v>21</v>
      </c>
      <c r="S12" s="77" cm="1">
        <f t="array" ref="S12">_xlfn.SWITCH($E$5,"Q4 2024",_xlfn.XLOOKUP($B12,$B$61:$B$66,S$61:S$66),
"Q3 2024",_xlfn.XLOOKUP($B12,$B$50:$B$55,S$50:S$55),
"Q2 2024",_xlfn.XLOOKUP($B12,$B$39:$B$44,S$39:S$44), "Q1 2024",_xlfn.XLOOKUP($B12,$B$28:$B$33,S$28:S$33))</f>
        <v>24</v>
      </c>
      <c r="T12" s="77" cm="1">
        <f t="array" ref="T12">_xlfn.SWITCH($E$5,"Q4 2024",_xlfn.XLOOKUP($B12,$B$61:$B$66,T$61:T$66),
"Q3 2024",_xlfn.XLOOKUP($B12,$B$50:$B$55,T$50:T$55),
"Q2 2024",_xlfn.XLOOKUP($B12,$B$39:$B$44,T$39:T$44), "Q1 2024",_xlfn.XLOOKUP($B12,$B$28:$B$33,T$28:T$33))</f>
        <v>22</v>
      </c>
      <c r="U12" s="77" cm="1">
        <f t="array" ref="U12">_xlfn.SWITCH($E$5,"Q4 2024",_xlfn.XLOOKUP($B12,$B$61:$B$66,U$61:U$66),
"Q3 2024",_xlfn.XLOOKUP($B12,$B$50:$B$55,U$50:U$55),
"Q2 2024",_xlfn.XLOOKUP($B12,$B$39:$B$44,U$39:U$44), "Q1 2024",_xlfn.XLOOKUP($B12,$B$28:$B$33,U$28:U$33))</f>
        <v>17</v>
      </c>
      <c r="V12" s="77" cm="1">
        <f t="array" ref="V12">_xlfn.SWITCH($E$5,"Q4 2024",_xlfn.XLOOKUP($B12,$B$61:$B$66,V$61:V$66),
"Q3 2024",_xlfn.XLOOKUP($B12,$B$50:$B$55,V$50:V$55),
"Q2 2024",_xlfn.XLOOKUP($B12,$B$39:$B$44,V$39:V$44), "Q1 2024",_xlfn.XLOOKUP($B12,$B$28:$B$33,V$28:V$33))</f>
        <v>16</v>
      </c>
      <c r="W12" s="77" cm="1">
        <f t="array" ref="W12">_xlfn.SWITCH($E$5,"Q4 2024",_xlfn.XLOOKUP($B12,$B$61:$B$66,W$61:W$66),
"Q3 2024",_xlfn.XLOOKUP($B12,$B$50:$B$55,W$50:W$55),
"Q2 2024",_xlfn.XLOOKUP($B12,$B$39:$B$44,W$39:W$44), "Q1 2024",_xlfn.XLOOKUP($B12,$B$28:$B$33,W$28:W$33))</f>
        <v>23</v>
      </c>
      <c r="X12" s="49" cm="1">
        <f t="array" ref="X12">_xlfn.SWITCH($E$5,"Q4 2024",_xlfn.XLOOKUP($B12,$B$61:$B$66,X$61:X$66),
"Q3 2024",_xlfn.XLOOKUP($B12,$B$50:$B$55,X$50:X$55),
"Q2 2024",_xlfn.XLOOKUP($B12,$B$39:$B$44,X$39:X$44), "Q1 2024",_xlfn.XLOOKUP($B12,$B$28:$B$33,X$28:X$33))</f>
        <v>6200</v>
      </c>
      <c r="Y12" s="49" cm="1">
        <f t="array" ref="Y12">_xlfn.SWITCH($E$5,"Q4 2024",_xlfn.XLOOKUP($B12,$B$61:$B$66,Y$61:Y$66),
"Q3 2024",_xlfn.XLOOKUP($B12,$B$50:$B$55,Y$50:Y$55),
"Q2 2024",_xlfn.XLOOKUP($B12,$B$39:$B$44,Y$39:Y$44), "Q1 2024",_xlfn.XLOOKUP($B12,$B$28:$B$33,Y$28:Y$33))</f>
        <v>6300</v>
      </c>
      <c r="Z12" s="49" cm="1">
        <f t="array" ref="Z12">_xlfn.SWITCH($E$5,"Q4 2024",_xlfn.XLOOKUP($B12,$B$61:$B$66,Z$61:Z$66),
"Q3 2024",_xlfn.XLOOKUP($B12,$B$50:$B$55,Z$50:Z$55),
"Q2 2024",_xlfn.XLOOKUP($B12,$B$39:$B$44,Z$39:Z$44), "Q1 2024",_xlfn.XLOOKUP($B12,$B$28:$B$33,Z$28:Z$33))</f>
        <v>9000</v>
      </c>
      <c r="AA12" s="49" cm="1">
        <f t="array" ref="AA12">_xlfn.SWITCH($E$5,"Q4 2024",_xlfn.XLOOKUP($B12,$B$61:$B$66,AA$61:AA$66),
"Q3 2024",_xlfn.XLOOKUP($B12,$B$50:$B$55,AA$50:AA$55),
"Q2 2024",_xlfn.XLOOKUP($B12,$B$39:$B$44,AA$39:AA$44), "Q1 2024",_xlfn.XLOOKUP($B12,$B$28:$B$33,AA$28:AA$33))</f>
        <v>295.24</v>
      </c>
      <c r="AB12" s="49" cm="1">
        <f t="array" ref="AB12">_xlfn.SWITCH($E$5,"Q4 2024",_xlfn.XLOOKUP($B12,$B$61:$B$66,AB$61:AB$66),
"Q3 2024",_xlfn.XLOOKUP($B12,$B$50:$B$55,AB$50:AB$55),
"Q2 2024",_xlfn.XLOOKUP($B12,$B$39:$B$44,AB$39:AB$44), "Q1 2024",_xlfn.XLOOKUP($B12,$B$28:$B$33,AB$28:AB$33))</f>
        <v>262.5</v>
      </c>
      <c r="AC12" s="49" cm="1">
        <f t="array" ref="AC12">_xlfn.SWITCH($E$5,"Q4 2024",_xlfn.XLOOKUP($B12,$B$61:$B$66,AC$61:AC$66),
"Q3 2024",_xlfn.XLOOKUP($B12,$B$50:$B$55,AC$50:AC$55),
"Q2 2024",_xlfn.XLOOKUP($B12,$B$39:$B$44,AC$39:AC$44), "Q1 2024",_xlfn.XLOOKUP($B12,$B$28:$B$33,AC$28:AC$33))</f>
        <v>409.09</v>
      </c>
      <c r="AD12" s="49" cm="1">
        <f t="array" ref="AD12">_xlfn.SWITCH($E$5,"Q4 2024",_xlfn.XLOOKUP($B12,$B$61:$B$66,AD$61:AD$66),
"Q3 2024",_xlfn.XLOOKUP($B12,$B$50:$B$55,AD$50:AD$55),
"Q2 2024",_xlfn.XLOOKUP($B12,$B$39:$B$44,AD$39:AD$44), "Q1 2024",_xlfn.XLOOKUP($B12,$B$28:$B$33,AD$28:AD$33))</f>
        <v>350</v>
      </c>
      <c r="AE12" s="49" cm="1">
        <f t="array" ref="AE12">_xlfn.SWITCH($E$5,"Q4 2024",_xlfn.XLOOKUP($B12,$B$61:$B$66,AE$61:AE$66),
"Q3 2024",_xlfn.XLOOKUP($B12,$B$50:$B$55,AE$50:AE$55),
"Q2 2024",_xlfn.XLOOKUP($B12,$B$39:$B$44,AE$39:AE$44), "Q1 2024",_xlfn.XLOOKUP($B12,$B$28:$B$33,AE$28:AE$33))</f>
        <v>450</v>
      </c>
      <c r="AF12" s="49" cm="1">
        <f t="array" ref="AF12">_xlfn.SWITCH($E$5,"Q4 2024",_xlfn.XLOOKUP($B12,$B$61:$B$66,AF$61:AF$66),
"Q3 2024",_xlfn.XLOOKUP($B12,$B$50:$B$55,AF$50:AF$55),
"Q2 2024",_xlfn.XLOOKUP($B12,$B$39:$B$44,AF$39:AF$44), "Q1 2024",_xlfn.XLOOKUP($B12,$B$28:$B$33,AF$28:AF$33))</f>
        <v>350</v>
      </c>
      <c r="AG12" s="49" cm="1">
        <f t="array" ref="AG12">_xlfn.SWITCH($E$5,"Q4 2024",_xlfn.XLOOKUP($B12,$B$61:$B$66,AG$61:AG$66),
"Q3 2024",_xlfn.XLOOKUP($B12,$B$50:$B$55,AG$50:AG$55),
"Q2 2024",_xlfn.XLOOKUP($B12,$B$39:$B$44,AG$39:AG$44), "Q1 2024",_xlfn.XLOOKUP($B12,$B$28:$B$33,AG$28:AG$33))</f>
        <v>405</v>
      </c>
      <c r="AH12" s="49" cm="1">
        <f t="array" ref="AH12">_xlfn.SWITCH($E$5,"Q4 2024",_xlfn.XLOOKUP($B12,$B$61:$B$66,AH$61:AH$66),
"Q3 2024",_xlfn.XLOOKUP($B12,$B$50:$B$55,AH$50:AH$55),
"Q2 2024",_xlfn.XLOOKUP($B12,$B$39:$B$44,AH$39:AH$44), "Q1 2024",_xlfn.XLOOKUP($B12,$B$28:$B$33,AH$28:AH$33))</f>
        <v>370</v>
      </c>
      <c r="AI12" s="49" cm="1">
        <f t="array" ref="AI12">_xlfn.SWITCH($E$5,"Q4 2024",_xlfn.XLOOKUP($B12,$B$61:$B$66,AI$61:AI$66),
"Q3 2024",_xlfn.XLOOKUP($B12,$B$50:$B$55,AI$50:AI$55),
"Q2 2024",_xlfn.XLOOKUP($B12,$B$39:$B$44,AI$39:AI$44), "Q1 2024",_xlfn.XLOOKUP($B12,$B$28:$B$33,AI$28:AI$33))</f>
        <v>350</v>
      </c>
      <c r="AJ12" s="49" cm="1">
        <f t="array" ref="AJ12">_xlfn.SWITCH($E$5,"Q4 2024",_xlfn.XLOOKUP($B12,$B$61:$B$66,AJ$61:AJ$66),
"Q3 2024",_xlfn.XLOOKUP($B12,$B$50:$B$55,AJ$50:AJ$55),
"Q2 2024",_xlfn.XLOOKUP($B12,$B$39:$B$44,AJ$39:AJ$44), "Q1 2024",_xlfn.XLOOKUP($B12,$B$28:$B$33,AJ$28:AJ$33))</f>
        <v>2500</v>
      </c>
      <c r="AK12" s="49" cm="1">
        <f t="array" ref="AK12">_xlfn.SWITCH($E$5,"Q4 2024",_xlfn.XLOOKUP($B12,$B$61:$B$66,AK$61:AK$66),
"Q3 2024",_xlfn.XLOOKUP($B12,$B$50:$B$55,AK$50:AK$55),
"Q2 2024",_xlfn.XLOOKUP($B12,$B$39:$B$44,AK$39:AK$44), "Q1 2024",_xlfn.XLOOKUP($B12,$B$28:$B$33,AK$28:AK$33))</f>
        <v>2980.77</v>
      </c>
      <c r="AL12" s="49" cm="1">
        <f t="array" ref="AL12">_xlfn.SWITCH($E$5,"Q4 2024",_xlfn.XLOOKUP($B12,$B$61:$B$66,AL$61:AL$66),
"Q3 2024",_xlfn.XLOOKUP($B12,$B$50:$B$55,AL$50:AL$55),
"Q2 2024",_xlfn.XLOOKUP($B12,$B$39:$B$44,AL$39:AL$44), "Q1 2024",_xlfn.XLOOKUP($B12,$B$28:$B$33,AL$28:AL$33))</f>
        <v>2980.77</v>
      </c>
      <c r="AM12" s="49" cm="1">
        <f t="array" ref="AM12">_xlfn.SWITCH($E$5,"Q4 2024",_xlfn.XLOOKUP($B12,$B$61:$B$66,AM$61:AM$66),
"Q3 2024",_xlfn.XLOOKUP($B12,$B$50:$B$55,AM$50:AM$55),
"Q2 2024",_xlfn.XLOOKUP($B12,$B$39:$B$44,AM$39:AM$44), "Q1 2024",_xlfn.XLOOKUP($B12,$B$28:$B$33,AM$28:AM$33))</f>
        <v>2400</v>
      </c>
      <c r="AN12" s="49" cm="1">
        <f t="array" ref="AN12">_xlfn.SWITCH($E$5,"Q4 2024",_xlfn.XLOOKUP($B12,$B$61:$B$66,AN$61:AN$66),
"Q3 2024",_xlfn.XLOOKUP($B12,$B$50:$B$55,AN$50:AN$55),
"Q2 2024",_xlfn.XLOOKUP($B12,$B$39:$B$44,AN$39:AN$44), "Q1 2024",_xlfn.XLOOKUP($B12,$B$28:$B$33,AN$28:AN$33))</f>
        <v>2800</v>
      </c>
      <c r="AO12" s="49" cm="1">
        <f t="array" ref="AO12">_xlfn.SWITCH($E$5,"Q4 2024",_xlfn.XLOOKUP($B12,$B$61:$B$66,AO$61:AO$66),
"Q3 2024",_xlfn.XLOOKUP($B12,$B$50:$B$55,AO$50:AO$55),
"Q2 2024",_xlfn.XLOOKUP($B12,$B$39:$B$44,AO$39:AO$44), "Q1 2024",_xlfn.XLOOKUP($B12,$B$28:$B$33,AO$28:AO$33))</f>
        <v>2890</v>
      </c>
      <c r="AP12" s="49" cm="1">
        <f t="array" ref="AP12">_xlfn.SWITCH($E$5,"Q4 2024",_xlfn.XLOOKUP($B12,$B$61:$B$66,AP$61:AP$66),
"Q3 2024",_xlfn.XLOOKUP($B12,$B$50:$B$55,AP$50:AP$55),
"Q2 2024",_xlfn.XLOOKUP($B12,$B$39:$B$44,AP$39:AP$44), "Q1 2024",_xlfn.XLOOKUP($B12,$B$28:$B$33,AP$28:AP$33))</f>
        <v>2200</v>
      </c>
      <c r="AQ12" s="49" cm="1">
        <f t="array" ref="AQ12">_xlfn.SWITCH($E$5,"Q4 2024",_xlfn.XLOOKUP($B12,$B$61:$B$66,AQ$61:AQ$66),
"Q3 2024",_xlfn.XLOOKUP($B12,$B$50:$B$55,AQ$50:AQ$55),
"Q2 2024",_xlfn.XLOOKUP($B12,$B$39:$B$44,AQ$39:AQ$44), "Q1 2024",_xlfn.XLOOKUP($B12,$B$28:$B$33,AQ$28:AQ$33))</f>
        <v>2300</v>
      </c>
      <c r="AR12" s="49" cm="1">
        <f t="array" ref="AR12">_xlfn.SWITCH($E$5,"Q4 2024",_xlfn.XLOOKUP($B12,$B$61:$B$66,AR$61:AR$66),
"Q3 2024",_xlfn.XLOOKUP($B12,$B$50:$B$55,AR$50:AR$55),
"Q2 2024",_xlfn.XLOOKUP($B12,$B$39:$B$44,AR$39:AR$44), "Q1 2024",_xlfn.XLOOKUP($B12,$B$28:$B$33,AR$28:AR$33))</f>
        <v>2500</v>
      </c>
    </row>
    <row r="13" spans="1:44" s="44" customFormat="1" ht="14.25" customHeight="1" x14ac:dyDescent="0.25">
      <c r="A13" s="43"/>
      <c r="B13" s="48" t="s">
        <v>27</v>
      </c>
      <c r="C13" s="49" cm="1">
        <f t="array" ref="C13">_xlfn.SWITCH($E$5,"Q4 2024",_xlfn.XLOOKUP($B13,$B$61:$B$66,C$61:C$66),
"Q3 2024",_xlfn.XLOOKUP($B13,$B$50:$B$55,C$50:C$55),
"Q2 2024",_xlfn.XLOOKUP($B13,$B$39:$B$44,C$39:C$44), "Q1 2024",_xlfn.XLOOKUP($B13,$B$28:$B$33,C$28:C$33))</f>
        <v>140000</v>
      </c>
      <c r="D13" s="49" cm="1">
        <f t="array" ref="D13">_xlfn.SWITCH($E$5,"Q4 2024",_xlfn.XLOOKUP($B13,$B$61:$B$66,D$61:D$66),
"Q3 2024",_xlfn.XLOOKUP($B13,$B$50:$B$55,D$50:D$55),
"Q2 2024",_xlfn.XLOOKUP($B13,$B$39:$B$44,D$39:D$44), "Q1 2024",_xlfn.XLOOKUP($B13,$B$28:$B$33,D$28:D$33))</f>
        <v>170000</v>
      </c>
      <c r="E13" s="49" cm="1">
        <f t="array" ref="E13">_xlfn.SWITCH($E$5,"Q4 2024",_xlfn.XLOOKUP($B13,$B$61:$B$66,E$61:E$66),
"Q3 2024",_xlfn.XLOOKUP($B13,$B$50:$B$55,E$50:E$55),
"Q2 2024",_xlfn.XLOOKUP($B13,$B$39:$B$44,E$39:E$44), "Q1 2024",_xlfn.XLOOKUP($B13,$B$28:$B$33,E$28:E$33))</f>
        <v>155000</v>
      </c>
      <c r="F13" s="49" cm="1">
        <f t="array" ref="F13">_xlfn.SWITCH($E$5,"Q4 2024",_xlfn.XLOOKUP($B13,$B$61:$B$66,F$61:F$66),
"Q3 2024",_xlfn.XLOOKUP($B13,$B$50:$B$55,F$50:F$55),
"Q2 2024",_xlfn.XLOOKUP($B13,$B$39:$B$44,F$39:F$44), "Q1 2024",_xlfn.XLOOKUP($B13,$B$28:$B$33,F$28:F$33))</f>
        <v>160000</v>
      </c>
      <c r="G13" s="49" cm="1">
        <f t="array" ref="G13">_xlfn.SWITCH($E$5,"Q4 2024",_xlfn.XLOOKUP($B13,$B$61:$B$66,G$61:G$66),
"Q3 2024",_xlfn.XLOOKUP($B13,$B$50:$B$55,G$50:G$55),
"Q2 2024",_xlfn.XLOOKUP($B13,$B$39:$B$44,G$39:G$44), "Q1 2024",_xlfn.XLOOKUP($B13,$B$28:$B$33,G$28:G$33))</f>
        <v>145000</v>
      </c>
      <c r="H13" s="49" cm="1">
        <f t="array" ref="H13">_xlfn.SWITCH($E$5,"Q4 2024",_xlfn.XLOOKUP($B13,$B$61:$B$66,H$61:H$66),
"Q3 2024",_xlfn.XLOOKUP($B13,$B$50:$B$55,H$50:H$55),
"Q2 2024",_xlfn.XLOOKUP($B13,$B$39:$B$44,H$39:H$44), "Q1 2024",_xlfn.XLOOKUP($B13,$B$28:$B$33,H$28:H$33))</f>
        <v>160000</v>
      </c>
      <c r="I13" s="49" cm="1">
        <f t="array" ref="I13">_xlfn.SWITCH($E$5,"Q4 2024",_xlfn.XLOOKUP($B13,$B$61:$B$66,I$61:I$66),
"Q3 2024",_xlfn.XLOOKUP($B13,$B$50:$B$55,I$50:I$55),
"Q2 2024",_xlfn.XLOOKUP($B13,$B$39:$B$44,I$39:I$44), "Q1 2024",_xlfn.XLOOKUP($B13,$B$28:$B$33,I$28:I$33))</f>
        <v>150000</v>
      </c>
      <c r="J13" s="49" cm="1">
        <f t="array" ref="J13">_xlfn.SWITCH($E$5,"Q4 2024",_xlfn.XLOOKUP($B13,$B$61:$B$66,J$61:J$66),
"Q3 2024",_xlfn.XLOOKUP($B13,$B$50:$B$55,J$50:J$55),
"Q2 2024",_xlfn.XLOOKUP($B13,$B$39:$B$44,J$39:J$44), "Q1 2024",_xlfn.XLOOKUP($B13,$B$28:$B$33,J$28:J$33))</f>
        <v>180000</v>
      </c>
      <c r="K13" s="49" cm="1">
        <f t="array" ref="K13">_xlfn.SWITCH($E$5,"Q4 2024",_xlfn.XLOOKUP($B13,$B$61:$B$66,K$61:K$66),
"Q3 2024",_xlfn.XLOOKUP($B13,$B$50:$B$55,K$50:K$55),
"Q2 2024",_xlfn.XLOOKUP($B13,$B$39:$B$44,K$39:K$44), "Q1 2024",_xlfn.XLOOKUP($B13,$B$28:$B$33,K$28:K$33))</f>
        <v>140000</v>
      </c>
      <c r="L13" s="77" cm="1">
        <f t="array" ref="L13">_xlfn.SWITCH($E$5,"Q4 2024",_xlfn.XLOOKUP($B13,$B$61:$B$66,L$61:L$66),
"Q3 2024",_xlfn.XLOOKUP($B13,$B$50:$B$55,L$50:L$55),
"Q2 2024",_xlfn.XLOOKUP($B13,$B$39:$B$44,L$39:L$44), "Q1 2024",_xlfn.XLOOKUP($B13,$B$28:$B$33,L$28:L$33))</f>
        <v>65</v>
      </c>
      <c r="M13" s="77" cm="1">
        <f t="array" ref="M13">_xlfn.SWITCH($E$5,"Q4 2024",_xlfn.XLOOKUP($B13,$B$61:$B$66,M$61:M$66),
"Q3 2024",_xlfn.XLOOKUP($B13,$B$50:$B$55,M$50:M$55),
"Q2 2024",_xlfn.XLOOKUP($B13,$B$39:$B$44,M$39:M$44), "Q1 2024",_xlfn.XLOOKUP($B13,$B$28:$B$33,M$28:M$33))</f>
        <v>50</v>
      </c>
      <c r="N13" s="77" cm="1">
        <f t="array" ref="N13">_xlfn.SWITCH($E$5,"Q4 2024",_xlfn.XLOOKUP($B13,$B$61:$B$66,N$61:N$66),
"Q3 2024",_xlfn.XLOOKUP($B13,$B$50:$B$55,N$50:N$55),
"Q2 2024",_xlfn.XLOOKUP($B13,$B$39:$B$44,N$39:N$44), "Q1 2024",_xlfn.XLOOKUP($B13,$B$28:$B$33,N$28:N$33))</f>
        <v>70</v>
      </c>
      <c r="O13" s="77" cm="1">
        <f t="array" ref="O13">_xlfn.SWITCH($E$5,"Q4 2024",_xlfn.XLOOKUP($B13,$B$61:$B$66,O$61:O$66),
"Q3 2024",_xlfn.XLOOKUP($B13,$B$50:$B$55,O$50:O$55),
"Q2 2024",_xlfn.XLOOKUP($B13,$B$39:$B$44,O$39:O$44), "Q1 2024",_xlfn.XLOOKUP($B13,$B$28:$B$33,O$28:O$33))</f>
        <v>20</v>
      </c>
      <c r="P13" s="77" cm="1">
        <f t="array" ref="P13">_xlfn.SWITCH($E$5,"Q4 2024",_xlfn.XLOOKUP($B13,$B$61:$B$66,P$61:P$66),
"Q3 2024",_xlfn.XLOOKUP($B13,$B$50:$B$55,P$50:P$55),
"Q2 2024",_xlfn.XLOOKUP($B13,$B$39:$B$44,P$39:P$44), "Q1 2024",_xlfn.XLOOKUP($B13,$B$28:$B$33,P$28:P$33))</f>
        <v>25</v>
      </c>
      <c r="Q13" s="77" cm="1">
        <f t="array" ref="Q13">_xlfn.SWITCH($E$5,"Q4 2024",_xlfn.XLOOKUP($B13,$B$61:$B$66,Q$61:Q$66),
"Q3 2024",_xlfn.XLOOKUP($B13,$B$50:$B$55,Q$50:Q$55),
"Q2 2024",_xlfn.XLOOKUP($B13,$B$39:$B$44,Q$39:Q$44), "Q1 2024",_xlfn.XLOOKUP($B13,$B$28:$B$33,Q$28:Q$33))</f>
        <v>35</v>
      </c>
      <c r="R13" s="77" cm="1">
        <f t="array" ref="R13">_xlfn.SWITCH($E$5,"Q4 2024",_xlfn.XLOOKUP($B13,$B$61:$B$66,R$61:R$66),
"Q3 2024",_xlfn.XLOOKUP($B13,$B$50:$B$55,R$50:R$55),
"Q2 2024",_xlfn.XLOOKUP($B13,$B$39:$B$44,R$39:R$44), "Q1 2024",_xlfn.XLOOKUP($B13,$B$28:$B$33,R$28:R$33))</f>
        <v>30</v>
      </c>
      <c r="S13" s="77" cm="1">
        <f t="array" ref="S13">_xlfn.SWITCH($E$5,"Q4 2024",_xlfn.XLOOKUP($B13,$B$61:$B$66,S$61:S$66),
"Q3 2024",_xlfn.XLOOKUP($B13,$B$50:$B$55,S$50:S$55),
"Q2 2024",_xlfn.XLOOKUP($B13,$B$39:$B$44,S$39:S$44), "Q1 2024",_xlfn.XLOOKUP($B13,$B$28:$B$33,S$28:S$33))</f>
        <v>16</v>
      </c>
      <c r="T13" s="77" cm="1">
        <f t="array" ref="T13">_xlfn.SWITCH($E$5,"Q4 2024",_xlfn.XLOOKUP($B13,$B$61:$B$66,T$61:T$66),
"Q3 2024",_xlfn.XLOOKUP($B13,$B$50:$B$55,T$50:T$55),
"Q2 2024",_xlfn.XLOOKUP($B13,$B$39:$B$44,T$39:T$44), "Q1 2024",_xlfn.XLOOKUP($B13,$B$28:$B$33,T$28:T$33))</f>
        <v>18</v>
      </c>
      <c r="U13" s="77" cm="1">
        <f t="array" ref="U13">_xlfn.SWITCH($E$5,"Q4 2024",_xlfn.XLOOKUP($B13,$B$61:$B$66,U$61:U$66),
"Q3 2024",_xlfn.XLOOKUP($B13,$B$50:$B$55,U$50:U$55),
"Q2 2024",_xlfn.XLOOKUP($B13,$B$39:$B$44,U$39:U$44), "Q1 2024",_xlfn.XLOOKUP($B13,$B$28:$B$33,U$28:U$33))</f>
        <v>25</v>
      </c>
      <c r="V13" s="77" cm="1">
        <f t="array" ref="V13">_xlfn.SWITCH($E$5,"Q4 2024",_xlfn.XLOOKUP($B13,$B$61:$B$66,V$61:V$66),
"Q3 2024",_xlfn.XLOOKUP($B13,$B$50:$B$55,V$50:V$55),
"Q2 2024",_xlfn.XLOOKUP($B13,$B$39:$B$44,V$39:V$44), "Q1 2024",_xlfn.XLOOKUP($B13,$B$28:$B$33,V$28:V$33))</f>
        <v>21</v>
      </c>
      <c r="W13" s="77" cm="1">
        <f t="array" ref="W13">_xlfn.SWITCH($E$5,"Q4 2024",_xlfn.XLOOKUP($B13,$B$61:$B$66,W$61:W$66),
"Q3 2024",_xlfn.XLOOKUP($B13,$B$50:$B$55,W$50:W$55),
"Q2 2024",_xlfn.XLOOKUP($B13,$B$39:$B$44,W$39:W$44), "Q1 2024",_xlfn.XLOOKUP($B13,$B$28:$B$33,W$28:W$33))</f>
        <v>20</v>
      </c>
      <c r="X13" s="49" cm="1">
        <f t="array" ref="X13">_xlfn.SWITCH($E$5,"Q4 2024",_xlfn.XLOOKUP($B13,$B$61:$B$66,X$61:X$66),
"Q3 2024",_xlfn.XLOOKUP($B13,$B$50:$B$55,X$50:X$55),
"Q2 2024",_xlfn.XLOOKUP($B13,$B$39:$B$44,X$39:X$44), "Q1 2024",_xlfn.XLOOKUP($B13,$B$28:$B$33,X$28:X$33))</f>
        <v>9800</v>
      </c>
      <c r="Y13" s="49" cm="1">
        <f t="array" ref="Y13">_xlfn.SWITCH($E$5,"Q4 2024",_xlfn.XLOOKUP($B13,$B$61:$B$66,Y$61:Y$66),
"Q3 2024",_xlfn.XLOOKUP($B13,$B$50:$B$55,Y$50:Y$55),
"Q2 2024",_xlfn.XLOOKUP($B13,$B$39:$B$44,Y$39:Y$44), "Q1 2024",_xlfn.XLOOKUP($B13,$B$28:$B$33,Y$28:Y$33))</f>
        <v>8000</v>
      </c>
      <c r="Z13" s="49" cm="1">
        <f t="array" ref="Z13">_xlfn.SWITCH($E$5,"Q4 2024",_xlfn.XLOOKUP($B13,$B$61:$B$66,Z$61:Z$66),
"Q3 2024",_xlfn.XLOOKUP($B13,$B$50:$B$55,Z$50:Z$55),
"Q2 2024",_xlfn.XLOOKUP($B13,$B$39:$B$44,Z$39:Z$44), "Q1 2024",_xlfn.XLOOKUP($B13,$B$28:$B$33,Z$28:Z$33))</f>
        <v>7500</v>
      </c>
      <c r="AA13" s="49" cm="1">
        <f t="array" ref="AA13">_xlfn.SWITCH($E$5,"Q4 2024",_xlfn.XLOOKUP($B13,$B$61:$B$66,AA$61:AA$66),
"Q3 2024",_xlfn.XLOOKUP($B13,$B$50:$B$55,AA$50:AA$55),
"Q2 2024",_xlfn.XLOOKUP($B13,$B$39:$B$44,AA$39:AA$44), "Q1 2024",_xlfn.XLOOKUP($B13,$B$28:$B$33,AA$28:AA$33))</f>
        <v>326.67</v>
      </c>
      <c r="AB13" s="49" cm="1">
        <f t="array" ref="AB13">_xlfn.SWITCH($E$5,"Q4 2024",_xlfn.XLOOKUP($B13,$B$61:$B$66,AB$61:AB$66),
"Q3 2024",_xlfn.XLOOKUP($B13,$B$50:$B$55,AB$50:AB$55),
"Q2 2024",_xlfn.XLOOKUP($B13,$B$39:$B$44,AB$39:AB$44), "Q1 2024",_xlfn.XLOOKUP($B13,$B$28:$B$33,AB$28:AB$33))</f>
        <v>500</v>
      </c>
      <c r="AC13" s="49" cm="1">
        <f t="array" ref="AC13">_xlfn.SWITCH($E$5,"Q4 2024",_xlfn.XLOOKUP($B13,$B$61:$B$66,AC$61:AC$66),
"Q3 2024",_xlfn.XLOOKUP($B13,$B$50:$B$55,AC$50:AC$55),
"Q2 2024",_xlfn.XLOOKUP($B13,$B$39:$B$44,AC$39:AC$44), "Q1 2024",_xlfn.XLOOKUP($B13,$B$28:$B$33,AC$28:AC$33))</f>
        <v>416.67</v>
      </c>
      <c r="AD13" s="49" cm="1">
        <f t="array" ref="AD13">_xlfn.SWITCH($E$5,"Q4 2024",_xlfn.XLOOKUP($B13,$B$61:$B$66,AD$61:AD$66),
"Q3 2024",_xlfn.XLOOKUP($B13,$B$50:$B$55,AD$50:AD$55),
"Q2 2024",_xlfn.XLOOKUP($B13,$B$39:$B$44,AD$39:AD$44), "Q1 2024",_xlfn.XLOOKUP($B13,$B$28:$B$33,AD$28:AD$33))</f>
        <v>350</v>
      </c>
      <c r="AE13" s="49" cm="1">
        <f t="array" ref="AE13">_xlfn.SWITCH($E$5,"Q4 2024",_xlfn.XLOOKUP($B13,$B$61:$B$66,AE$61:AE$66),
"Q3 2024",_xlfn.XLOOKUP($B13,$B$50:$B$55,AE$50:AE$55),
"Q2 2024",_xlfn.XLOOKUP($B13,$B$39:$B$44,AE$39:AE$44), "Q1 2024",_xlfn.XLOOKUP($B13,$B$28:$B$33,AE$28:AE$33))</f>
        <v>450</v>
      </c>
      <c r="AF13" s="49" cm="1">
        <f t="array" ref="AF13">_xlfn.SWITCH($E$5,"Q4 2024",_xlfn.XLOOKUP($B13,$B$61:$B$66,AF$61:AF$66),
"Q3 2024",_xlfn.XLOOKUP($B13,$B$50:$B$55,AF$50:AF$55),
"Q2 2024",_xlfn.XLOOKUP($B13,$B$39:$B$44,AF$39:AF$44), "Q1 2024",_xlfn.XLOOKUP($B13,$B$28:$B$33,AF$28:AF$33))</f>
        <v>350</v>
      </c>
      <c r="AG13" s="49" cm="1">
        <f t="array" ref="AG13">_xlfn.SWITCH($E$5,"Q4 2024",_xlfn.XLOOKUP($B13,$B$61:$B$66,AG$61:AG$66),
"Q3 2024",_xlfn.XLOOKUP($B13,$B$50:$B$55,AG$50:AG$55),
"Q2 2024",_xlfn.XLOOKUP($B13,$B$39:$B$44,AG$39:AG$44), "Q1 2024",_xlfn.XLOOKUP($B13,$B$28:$B$33,AG$28:AG$33))</f>
        <v>385</v>
      </c>
      <c r="AH13" s="49" cm="1">
        <f t="array" ref="AH13">_xlfn.SWITCH($E$5,"Q4 2024",_xlfn.XLOOKUP($B13,$B$61:$B$66,AH$61:AH$66),
"Q3 2024",_xlfn.XLOOKUP($B13,$B$50:$B$55,AH$50:AH$55),
"Q2 2024",_xlfn.XLOOKUP($B13,$B$39:$B$44,AH$39:AH$44), "Q1 2024",_xlfn.XLOOKUP($B13,$B$28:$B$33,AH$28:AH$33))</f>
        <v>350</v>
      </c>
      <c r="AI13" s="49" cm="1">
        <f t="array" ref="AI13">_xlfn.SWITCH($E$5,"Q4 2024",_xlfn.XLOOKUP($B13,$B$61:$B$66,AI$61:AI$66),
"Q3 2024",_xlfn.XLOOKUP($B13,$B$50:$B$55,AI$50:AI$55),
"Q2 2024",_xlfn.XLOOKUP($B13,$B$39:$B$44,AI$39:AI$44), "Q1 2024",_xlfn.XLOOKUP($B13,$B$28:$B$33,AI$28:AI$33))</f>
        <v>410</v>
      </c>
      <c r="AJ13" s="49" cm="1">
        <f t="array" ref="AJ13">_xlfn.SWITCH($E$5,"Q4 2024",_xlfn.XLOOKUP($B13,$B$61:$B$66,AJ$61:AJ$66),
"Q3 2024",_xlfn.XLOOKUP($B13,$B$50:$B$55,AJ$50:AJ$55),
"Q2 2024",_xlfn.XLOOKUP($B13,$B$39:$B$44,AJ$39:AJ$44), "Q1 2024",_xlfn.XLOOKUP($B13,$B$28:$B$33,AJ$28:AJ$33))</f>
        <v>2153.85</v>
      </c>
      <c r="AK13" s="49" cm="1">
        <f t="array" ref="AK13">_xlfn.SWITCH($E$5,"Q4 2024",_xlfn.XLOOKUP($B13,$B$61:$B$66,AK$61:AK$66),
"Q3 2024",_xlfn.XLOOKUP($B13,$B$50:$B$55,AK$50:AK$55),
"Q2 2024",_xlfn.XLOOKUP($B13,$B$39:$B$44,AK$39:AK$44), "Q1 2024",_xlfn.XLOOKUP($B13,$B$28:$B$33,AK$28:AK$33))</f>
        <v>3400</v>
      </c>
      <c r="AL13" s="49" cm="1">
        <f t="array" ref="AL13">_xlfn.SWITCH($E$5,"Q4 2024",_xlfn.XLOOKUP($B13,$B$61:$B$66,AL$61:AL$66),
"Q3 2024",_xlfn.XLOOKUP($B13,$B$50:$B$55,AL$50:AL$55),
"Q2 2024",_xlfn.XLOOKUP($B13,$B$39:$B$44,AL$39:AL$44), "Q1 2024",_xlfn.XLOOKUP($B13,$B$28:$B$33,AL$28:AL$33))</f>
        <v>2214.29</v>
      </c>
      <c r="AM13" s="49" cm="1">
        <f t="array" ref="AM13">_xlfn.SWITCH($E$5,"Q4 2024",_xlfn.XLOOKUP($B13,$B$61:$B$66,AM$61:AM$66),
"Q3 2024",_xlfn.XLOOKUP($B13,$B$50:$B$55,AM$50:AM$55),
"Q2 2024",_xlfn.XLOOKUP($B13,$B$39:$B$44,AM$39:AM$44), "Q1 2024",_xlfn.XLOOKUP($B13,$B$28:$B$33,AM$28:AM$33))</f>
        <v>1900</v>
      </c>
      <c r="AN13" s="49" cm="1">
        <f t="array" ref="AN13">_xlfn.SWITCH($E$5,"Q4 2024",_xlfn.XLOOKUP($B13,$B$61:$B$66,AN$61:AN$66),
"Q3 2024",_xlfn.XLOOKUP($B13,$B$50:$B$55,AN$50:AN$55),
"Q2 2024",_xlfn.XLOOKUP($B13,$B$39:$B$44,AN$39:AN$44), "Q1 2024",_xlfn.XLOOKUP($B13,$B$28:$B$33,AN$28:AN$33))</f>
        <v>3000</v>
      </c>
      <c r="AO13" s="49" cm="1">
        <f t="array" ref="AO13">_xlfn.SWITCH($E$5,"Q4 2024",_xlfn.XLOOKUP($B13,$B$61:$B$66,AO$61:AO$66),
"Q3 2024",_xlfn.XLOOKUP($B13,$B$50:$B$55,AO$50:AO$55),
"Q2 2024",_xlfn.XLOOKUP($B13,$B$39:$B$44,AO$39:AO$44), "Q1 2024",_xlfn.XLOOKUP($B13,$B$28:$B$33,AO$28:AO$33))</f>
        <v>2100</v>
      </c>
      <c r="AP13" s="49" cm="1">
        <f t="array" ref="AP13">_xlfn.SWITCH($E$5,"Q4 2024",_xlfn.XLOOKUP($B13,$B$61:$B$66,AP$61:AP$66),
"Q3 2024",_xlfn.XLOOKUP($B13,$B$50:$B$55,AP$50:AP$55),
"Q2 2024",_xlfn.XLOOKUP($B13,$B$39:$B$44,AP$39:AP$44), "Q1 2024",_xlfn.XLOOKUP($B13,$B$28:$B$33,AP$28:AP$33))</f>
        <v>2200</v>
      </c>
      <c r="AQ13" s="49" cm="1">
        <f t="array" ref="AQ13">_xlfn.SWITCH($E$5,"Q4 2024",_xlfn.XLOOKUP($B13,$B$61:$B$66,AQ$61:AQ$66),
"Q3 2024",_xlfn.XLOOKUP($B13,$B$50:$B$55,AQ$50:AQ$55),
"Q2 2024",_xlfn.XLOOKUP($B13,$B$39:$B$44,AQ$39:AQ$44), "Q1 2024",_xlfn.XLOOKUP($B13,$B$28:$B$33,AQ$28:AQ$33))</f>
        <v>2300</v>
      </c>
      <c r="AR13" s="49" cm="1">
        <f t="array" ref="AR13">_xlfn.SWITCH($E$5,"Q4 2024",_xlfn.XLOOKUP($B13,$B$61:$B$66,AR$61:AR$66),
"Q3 2024",_xlfn.XLOOKUP($B13,$B$50:$B$55,AR$50:AR$55),
"Q2 2024",_xlfn.XLOOKUP($B13,$B$39:$B$44,AR$39:AR$44), "Q1 2024",_xlfn.XLOOKUP($B13,$B$28:$B$33,AR$28:AR$33))</f>
        <v>2500</v>
      </c>
    </row>
    <row r="14" spans="1:44" s="44" customFormat="1" ht="14.25" customHeight="1" x14ac:dyDescent="0.25">
      <c r="A14" s="43"/>
      <c r="B14" s="50" t="s">
        <v>28</v>
      </c>
      <c r="C14" s="51" cm="1">
        <f t="array" ref="C14">_xlfn.SWITCH($E$5,"Q4 2024",_xlfn.XLOOKUP($B14,$B$61:$B$66,C$61:C$66),
"Q3 2024",_xlfn.XLOOKUP($B14,$B$50:$B$55,C$50:C$55),
"Q2 2024",_xlfn.XLOOKUP($B14,$B$39:$B$44,C$39:C$44), "Q1 2024",_xlfn.XLOOKUP($B14,$B$28:$B$33,C$28:C$33))</f>
        <v>780000</v>
      </c>
      <c r="D14" s="51" cm="1">
        <f t="array" ref="D14">_xlfn.SWITCH($E$5,"Q4 2024",_xlfn.XLOOKUP($B14,$B$61:$B$66,D$61:D$66),
"Q3 2024",_xlfn.XLOOKUP($B14,$B$50:$B$55,D$50:D$55),
"Q2 2024",_xlfn.XLOOKUP($B14,$B$39:$B$44,D$39:D$44), "Q1 2024",_xlfn.XLOOKUP($B14,$B$28:$B$33,D$28:D$33))</f>
        <v>745000</v>
      </c>
      <c r="E14" s="51" cm="1">
        <f t="array" ref="E14">_xlfn.SWITCH($E$5,"Q4 2024",_xlfn.XLOOKUP($B14,$B$61:$B$66,E$61:E$66),
"Q3 2024",_xlfn.XLOOKUP($B14,$B$50:$B$55,E$50:E$55),
"Q2 2024",_xlfn.XLOOKUP($B14,$B$39:$B$44,E$39:E$44), "Q1 2024",_xlfn.XLOOKUP($B14,$B$28:$B$33,E$28:E$33))</f>
        <v>760000</v>
      </c>
      <c r="F14" s="51" cm="1">
        <f t="array" ref="F14">_xlfn.SWITCH($E$5,"Q4 2024",_xlfn.XLOOKUP($B14,$B$61:$B$66,F$61:F$66),
"Q3 2024",_xlfn.XLOOKUP($B14,$B$50:$B$55,F$50:F$55),
"Q2 2024",_xlfn.XLOOKUP($B14,$B$39:$B$44,F$39:F$44), "Q1 2024",_xlfn.XLOOKUP($B14,$B$28:$B$33,F$28:F$33))</f>
        <v>800000</v>
      </c>
      <c r="G14" s="51" cm="1">
        <f t="array" ref="G14">_xlfn.SWITCH($E$5,"Q4 2024",_xlfn.XLOOKUP($B14,$B$61:$B$66,G$61:G$66),
"Q3 2024",_xlfn.XLOOKUP($B14,$B$50:$B$55,G$50:G$55),
"Q2 2024",_xlfn.XLOOKUP($B14,$B$39:$B$44,G$39:G$44), "Q1 2024",_xlfn.XLOOKUP($B14,$B$28:$B$33,G$28:G$33))</f>
        <v>725000</v>
      </c>
      <c r="H14" s="51" cm="1">
        <f t="array" ref="H14">_xlfn.SWITCH($E$5,"Q4 2024",_xlfn.XLOOKUP($B14,$B$61:$B$66,H$61:H$66),
"Q3 2024",_xlfn.XLOOKUP($B14,$B$50:$B$55,H$50:H$55),
"Q2 2024",_xlfn.XLOOKUP($B14,$B$39:$B$44,H$39:H$44), "Q1 2024",_xlfn.XLOOKUP($B14,$B$28:$B$33,H$28:H$33))</f>
        <v>800000</v>
      </c>
      <c r="I14" s="51" cm="1">
        <f t="array" ref="I14">_xlfn.SWITCH($E$5,"Q4 2024",_xlfn.XLOOKUP($B14,$B$61:$B$66,I$61:I$66),
"Q3 2024",_xlfn.XLOOKUP($B14,$B$50:$B$55,I$50:I$55),
"Q2 2024",_xlfn.XLOOKUP($B14,$B$39:$B$44,I$39:I$44), "Q1 2024",_xlfn.XLOOKUP($B14,$B$28:$B$33,I$28:I$33))</f>
        <v>715000</v>
      </c>
      <c r="J14" s="51" cm="1">
        <f t="array" ref="J14">_xlfn.SWITCH($E$5,"Q4 2024",_xlfn.XLOOKUP($B14,$B$61:$B$66,J$61:J$66),
"Q3 2024",_xlfn.XLOOKUP($B14,$B$50:$B$55,J$50:J$55),
"Q2 2024",_xlfn.XLOOKUP($B14,$B$39:$B$44,J$39:J$44), "Q1 2024",_xlfn.XLOOKUP($B14,$B$28:$B$33,J$28:J$33))</f>
        <v>740000</v>
      </c>
      <c r="K14" s="51" cm="1">
        <f t="array" ref="K14">_xlfn.SWITCH($E$5,"Q4 2024",_xlfn.XLOOKUP($B14,$B$61:$B$66,K$61:K$66),
"Q3 2024",_xlfn.XLOOKUP($B14,$B$50:$B$55,K$50:K$55),
"Q2 2024",_xlfn.XLOOKUP($B14,$B$39:$B$44,K$39:K$44), "Q1 2024",_xlfn.XLOOKUP($B14,$B$28:$B$33,K$28:K$33))</f>
        <v>690000</v>
      </c>
      <c r="L14" s="78" cm="1">
        <f t="array" ref="L14">_xlfn.SWITCH($E$5,"Q4 2024",_xlfn.XLOOKUP($B14,$B$61:$B$66,L$61:L$66),
"Q3 2024",_xlfn.XLOOKUP($B14,$B$50:$B$55,L$50:L$55),
"Q2 2024",_xlfn.XLOOKUP($B14,$B$39:$B$44,L$39:L$44), "Q1 2024",_xlfn.XLOOKUP($B14,$B$28:$B$33,L$28:L$33))</f>
        <v>294</v>
      </c>
      <c r="M14" s="78" cm="1">
        <f t="array" ref="M14">_xlfn.SWITCH($E$5,"Q4 2024",_xlfn.XLOOKUP($B14,$B$61:$B$66,M$61:M$66),
"Q3 2024",_xlfn.XLOOKUP($B14,$B$50:$B$55,M$50:M$55),
"Q2 2024",_xlfn.XLOOKUP($B14,$B$39:$B$44,M$39:M$44), "Q1 2024",_xlfn.XLOOKUP($B14,$B$28:$B$33,M$28:M$33))</f>
        <v>267</v>
      </c>
      <c r="N14" s="78" cm="1">
        <f t="array" ref="N14">_xlfn.SWITCH($E$5,"Q4 2024",_xlfn.XLOOKUP($B14,$B$61:$B$66,N$61:N$66),
"Q3 2024",_xlfn.XLOOKUP($B14,$B$50:$B$55,N$50:N$55),
"Q2 2024",_xlfn.XLOOKUP($B14,$B$39:$B$44,N$39:N$44), "Q1 2024",_xlfn.XLOOKUP($B14,$B$28:$B$33,N$28:N$33))</f>
        <v>297</v>
      </c>
      <c r="O14" s="78" cm="1">
        <f t="array" ref="O14">_xlfn.SWITCH($E$5,"Q4 2024",_xlfn.XLOOKUP($B14,$B$61:$B$66,O$61:O$66),
"Q3 2024",_xlfn.XLOOKUP($B14,$B$50:$B$55,O$50:O$55),
"Q2 2024",_xlfn.XLOOKUP($B14,$B$39:$B$44,O$39:O$44), "Q1 2024",_xlfn.XLOOKUP($B14,$B$28:$B$33,O$28:O$33))</f>
        <v>100</v>
      </c>
      <c r="P14" s="78" cm="1">
        <f t="array" ref="P14">_xlfn.SWITCH($E$5,"Q4 2024",_xlfn.XLOOKUP($B14,$B$61:$B$66,P$61:P$66),
"Q3 2024",_xlfn.XLOOKUP($B14,$B$50:$B$55,P$50:P$55),
"Q2 2024",_xlfn.XLOOKUP($B14,$B$39:$B$44,P$39:P$44), "Q1 2024",_xlfn.XLOOKUP($B14,$B$28:$B$33,P$28:P$33))</f>
        <v>125</v>
      </c>
      <c r="Q14" s="78" cm="1">
        <f t="array" ref="Q14">_xlfn.SWITCH($E$5,"Q4 2024",_xlfn.XLOOKUP($B14,$B$61:$B$66,Q$61:Q$66),
"Q3 2024",_xlfn.XLOOKUP($B14,$B$50:$B$55,Q$50:Q$55),
"Q2 2024",_xlfn.XLOOKUP($B14,$B$39:$B$44,Q$39:Q$44), "Q1 2024",_xlfn.XLOOKUP($B14,$B$28:$B$33,Q$28:Q$33))</f>
        <v>175</v>
      </c>
      <c r="R14" s="78" cm="1">
        <f t="array" ref="R14">_xlfn.SWITCH($E$5,"Q4 2024",_xlfn.XLOOKUP($B14,$B$61:$B$66,R$61:R$66),
"Q3 2024",_xlfn.XLOOKUP($B14,$B$50:$B$55,R$50:R$55),
"Q2 2024",_xlfn.XLOOKUP($B14,$B$39:$B$44,R$39:R$44), "Q1 2024",_xlfn.XLOOKUP($B14,$B$28:$B$33,R$28:R$33))</f>
        <v>102</v>
      </c>
      <c r="S14" s="78" cm="1">
        <f t="array" ref="S14">_xlfn.SWITCH($E$5,"Q4 2024",_xlfn.XLOOKUP($B14,$B$61:$B$66,S$61:S$66),
"Q3 2024",_xlfn.XLOOKUP($B14,$B$50:$B$55,S$50:S$55),
"Q2 2024",_xlfn.XLOOKUP($B14,$B$39:$B$44,S$39:S$44), "Q1 2024",_xlfn.XLOOKUP($B14,$B$28:$B$33,S$28:S$33))</f>
        <v>100</v>
      </c>
      <c r="T14" s="78" cm="1">
        <f t="array" ref="T14">_xlfn.SWITCH($E$5,"Q4 2024",_xlfn.XLOOKUP($B14,$B$61:$B$66,T$61:T$66),
"Q3 2024",_xlfn.XLOOKUP($B14,$B$50:$B$55,T$50:T$55),
"Q2 2024",_xlfn.XLOOKUP($B14,$B$39:$B$44,T$39:T$44), "Q1 2024",_xlfn.XLOOKUP($B14,$B$28:$B$33,T$28:T$33))</f>
        <v>99</v>
      </c>
      <c r="U14" s="78" cm="1">
        <f t="array" ref="U14">_xlfn.SWITCH($E$5,"Q4 2024",_xlfn.XLOOKUP($B14,$B$61:$B$66,U$61:U$66),
"Q3 2024",_xlfn.XLOOKUP($B14,$B$50:$B$55,U$50:U$55),
"Q2 2024",_xlfn.XLOOKUP($B14,$B$39:$B$44,U$39:U$44), "Q1 2024",_xlfn.XLOOKUP($B14,$B$28:$B$33,U$28:U$33))</f>
        <v>102</v>
      </c>
      <c r="V14" s="78" cm="1">
        <f t="array" ref="V14">_xlfn.SWITCH($E$5,"Q4 2024",_xlfn.XLOOKUP($B14,$B$61:$B$66,V$61:V$66),
"Q3 2024",_xlfn.XLOOKUP($B14,$B$50:$B$55,V$50:V$55),
"Q2 2024",_xlfn.XLOOKUP($B14,$B$39:$B$44,V$39:V$44), "Q1 2024",_xlfn.XLOOKUP($B14,$B$28:$B$33,V$28:V$33))</f>
        <v>91</v>
      </c>
      <c r="W14" s="78" cm="1">
        <f t="array" ref="W14">_xlfn.SWITCH($E$5,"Q4 2024",_xlfn.XLOOKUP($B14,$B$61:$B$66,W$61:W$66),
"Q3 2024",_xlfn.XLOOKUP($B14,$B$50:$B$55,W$50:W$55),
"Q2 2024",_xlfn.XLOOKUP($B14,$B$39:$B$44,W$39:W$44), "Q1 2024",_xlfn.XLOOKUP($B14,$B$28:$B$33,W$28:W$33))</f>
        <v>87</v>
      </c>
      <c r="X14" s="51" cm="1">
        <f t="array" ref="X14">_xlfn.SWITCH($E$5,"Q4 2024",_xlfn.XLOOKUP($B14,$B$61:$B$66,X$61:X$66),
"Q3 2024",_xlfn.XLOOKUP($B14,$B$50:$B$55,X$50:X$55),
"Q2 2024",_xlfn.XLOOKUP($B14,$B$39:$B$44,X$39:X$44), "Q1 2024",_xlfn.XLOOKUP($B14,$B$28:$B$33,X$28:X$33))</f>
        <v>38500</v>
      </c>
      <c r="Y14" s="51" cm="1">
        <f t="array" ref="Y14">_xlfn.SWITCH($E$5,"Q4 2024",_xlfn.XLOOKUP($B14,$B$61:$B$66,Y$61:Y$66),
"Q3 2024",_xlfn.XLOOKUP($B14,$B$50:$B$55,Y$50:Y$55),
"Q2 2024",_xlfn.XLOOKUP($B14,$B$39:$B$44,Y$39:Y$44), "Q1 2024",_xlfn.XLOOKUP($B14,$B$28:$B$33,Y$28:Y$33))</f>
        <v>35300</v>
      </c>
      <c r="Z14" s="51" cm="1">
        <f t="array" ref="Z14">_xlfn.SWITCH($E$5,"Q4 2024",_xlfn.XLOOKUP($B14,$B$61:$B$66,Z$61:Z$66),
"Q3 2024",_xlfn.XLOOKUP($B14,$B$50:$B$55,Z$50:Z$55),
"Q2 2024",_xlfn.XLOOKUP($B14,$B$39:$B$44,Z$39:Z$44), "Q1 2024",_xlfn.XLOOKUP($B14,$B$28:$B$33,Z$28:Z$33))</f>
        <v>32000</v>
      </c>
      <c r="AA14" s="51" cm="1">
        <f t="array" ref="AA14">_xlfn.SWITCH($E$5,"Q4 2024",_xlfn.XLOOKUP($B14,$B$61:$B$66,AA$61:AA$66),
"Q3 2024",_xlfn.XLOOKUP($B14,$B$50:$B$55,AA$50:AA$55),
"Q2 2024",_xlfn.XLOOKUP($B14,$B$39:$B$44,AA$39:AA$44), "Q1 2024",_xlfn.XLOOKUP($B14,$B$28:$B$33,AA$28:AA$33))</f>
        <v>393.82</v>
      </c>
      <c r="AB14" s="51" cm="1">
        <f t="array" ref="AB14">_xlfn.SWITCH($E$5,"Q4 2024",_xlfn.XLOOKUP($B14,$B$61:$B$66,AB$61:AB$66),
"Q3 2024",_xlfn.XLOOKUP($B14,$B$50:$B$55,AB$50:AB$55),
"Q2 2024",_xlfn.XLOOKUP($B14,$B$39:$B$44,AB$39:AB$44), "Q1 2024",_xlfn.XLOOKUP($B14,$B$28:$B$33,AB$28:AB$33))</f>
        <v>363.63599999999997</v>
      </c>
      <c r="AC14" s="51" cm="1">
        <f t="array" ref="AC14">_xlfn.SWITCH($E$5,"Q4 2024",_xlfn.XLOOKUP($B14,$B$61:$B$66,AC$61:AC$66),
"Q3 2024",_xlfn.XLOOKUP($B14,$B$50:$B$55,AC$50:AC$55),
"Q2 2024",_xlfn.XLOOKUP($B14,$B$39:$B$44,AC$39:AC$44), "Q1 2024",_xlfn.XLOOKUP($B14,$B$28:$B$33,AC$28:AC$33))</f>
        <v>328.68</v>
      </c>
      <c r="AD14" s="51" cm="1">
        <f t="array" ref="AD14">_xlfn.SWITCH($E$5,"Q4 2024",_xlfn.XLOOKUP($B14,$B$61:$B$66,AD$61:AD$66),
"Q3 2024",_xlfn.XLOOKUP($B14,$B$50:$B$55,AD$50:AD$55),
"Q2 2024",_xlfn.XLOOKUP($B14,$B$39:$B$44,AD$39:AD$44), "Q1 2024",_xlfn.XLOOKUP($B14,$B$28:$B$33,AD$28:AD$33))</f>
        <v>350</v>
      </c>
      <c r="AE14" s="51" cm="1">
        <f t="array" ref="AE14">_xlfn.SWITCH($E$5,"Q4 2024",_xlfn.XLOOKUP($B14,$B$61:$B$66,AE$61:AE$66),
"Q3 2024",_xlfn.XLOOKUP($B14,$B$50:$B$55,AE$50:AE$55),
"Q2 2024",_xlfn.XLOOKUP($B14,$B$39:$B$44,AE$39:AE$44), "Q1 2024",_xlfn.XLOOKUP($B14,$B$28:$B$33,AE$28:AE$33))</f>
        <v>450</v>
      </c>
      <c r="AF14" s="51" cm="1">
        <f t="array" ref="AF14">_xlfn.SWITCH($E$5,"Q4 2024",_xlfn.XLOOKUP($B14,$B$61:$B$66,AF$61:AF$66),
"Q3 2024",_xlfn.XLOOKUP($B14,$B$50:$B$55,AF$50:AF$55),
"Q2 2024",_xlfn.XLOOKUP($B14,$B$39:$B$44,AF$39:AF$44), "Q1 2024",_xlfn.XLOOKUP($B14,$B$28:$B$33,AF$28:AF$33))</f>
        <v>350</v>
      </c>
      <c r="AG14" s="51" cm="1">
        <f t="array" ref="AG14">_xlfn.SWITCH($E$5,"Q4 2024",_xlfn.XLOOKUP($B14,$B$61:$B$66,AG$61:AG$66),
"Q3 2024",_xlfn.XLOOKUP($B14,$B$50:$B$55,AG$50:AG$55),
"Q2 2024",_xlfn.XLOOKUP($B14,$B$39:$B$44,AG$39:AG$44), "Q1 2024",_xlfn.XLOOKUP($B14,$B$28:$B$33,AG$28:AG$33))</f>
        <v>387</v>
      </c>
      <c r="AH14" s="51" cm="1">
        <f t="array" ref="AH14">_xlfn.SWITCH($E$5,"Q4 2024",_xlfn.XLOOKUP($B14,$B$61:$B$66,AH$61:AH$66),
"Q3 2024",_xlfn.XLOOKUP($B14,$B$50:$B$55,AH$50:AH$55),
"Q2 2024",_xlfn.XLOOKUP($B14,$B$39:$B$44,AH$39:AH$44), "Q1 2024",_xlfn.XLOOKUP($B14,$B$28:$B$33,AH$28:AH$33))</f>
        <v>371</v>
      </c>
      <c r="AI14" s="51" cm="1">
        <f t="array" ref="AI14">_xlfn.SWITCH($E$5,"Q4 2024",_xlfn.XLOOKUP($B14,$B$61:$B$66,AI$61:AI$66),
"Q3 2024",_xlfn.XLOOKUP($B14,$B$50:$B$55,AI$50:AI$55),
"Q2 2024",_xlfn.XLOOKUP($B14,$B$39:$B$44,AI$39:AI$44), "Q1 2024",_xlfn.XLOOKUP($B14,$B$28:$B$33,AI$28:AI$33))</f>
        <v>378</v>
      </c>
      <c r="AJ14" s="51" cm="1">
        <f t="array" ref="AJ14">_xlfn.SWITCH($E$5,"Q4 2024",_xlfn.XLOOKUP($B14,$B$61:$B$66,AJ$61:AJ$66),
"Q3 2024",_xlfn.XLOOKUP($B14,$B$50:$B$55,AJ$50:AJ$55),
"Q2 2024",_xlfn.XLOOKUP($B14,$B$39:$B$44,AJ$39:AJ$44), "Q1 2024",_xlfn.XLOOKUP($B14,$B$28:$B$33,AJ$28:AJ$33))</f>
        <v>2709.0160000000001</v>
      </c>
      <c r="AK14" s="51" cm="1">
        <f t="array" ref="AK14">_xlfn.SWITCH($E$5,"Q4 2024",_xlfn.XLOOKUP($B14,$B$61:$B$66,AK$61:AK$66),
"Q3 2024",_xlfn.XLOOKUP($B14,$B$50:$B$55,AK$50:AK$55),
"Q2 2024",_xlfn.XLOOKUP($B14,$B$39:$B$44,AK$39:AK$44), "Q1 2024",_xlfn.XLOOKUP($B14,$B$28:$B$33,AK$28:AK$33))</f>
        <v>2854.7080000000001</v>
      </c>
      <c r="AL14" s="51" cm="1">
        <f t="array" ref="AL14">_xlfn.SWITCH($E$5,"Q4 2024",_xlfn.XLOOKUP($B14,$B$61:$B$66,AL$61:AL$66),
"Q3 2024",_xlfn.XLOOKUP($B14,$B$50:$B$55,AL$50:AL$55),
"Q2 2024",_xlfn.XLOOKUP($B14,$B$39:$B$44,AL$39:AL$44), "Q1 2024",_xlfn.XLOOKUP($B14,$B$28:$B$33,AL$28:AL$33))</f>
        <v>2571.576</v>
      </c>
      <c r="AM14" s="51" cm="1">
        <f t="array" ref="AM14">_xlfn.SWITCH($E$5,"Q4 2024",_xlfn.XLOOKUP($B14,$B$61:$B$66,AM$61:AM$66),
"Q3 2024",_xlfn.XLOOKUP($B14,$B$50:$B$55,AM$50:AM$55),
"Q2 2024",_xlfn.XLOOKUP($B14,$B$39:$B$44,AM$39:AM$44), "Q1 2024",_xlfn.XLOOKUP($B14,$B$28:$B$33,AM$28:AM$33))</f>
        <v>2440</v>
      </c>
      <c r="AN14" s="51" cm="1">
        <f t="array" ref="AN14">_xlfn.SWITCH($E$5,"Q4 2024",_xlfn.XLOOKUP($B14,$B$61:$B$66,AN$61:AN$66),
"Q3 2024",_xlfn.XLOOKUP($B14,$B$50:$B$55,AN$50:AN$55),
"Q2 2024",_xlfn.XLOOKUP($B14,$B$39:$B$44,AN$39:AN$44), "Q1 2024",_xlfn.XLOOKUP($B14,$B$28:$B$33,AN$28:AN$33))</f>
        <v>2620</v>
      </c>
      <c r="AO14" s="51" cm="1">
        <f t="array" ref="AO14">_xlfn.SWITCH($E$5,"Q4 2024",_xlfn.XLOOKUP($B14,$B$61:$B$66,AO$61:AO$66),
"Q3 2024",_xlfn.XLOOKUP($B14,$B$50:$B$55,AO$50:AO$55),
"Q2 2024",_xlfn.XLOOKUP($B14,$B$39:$B$44,AO$39:AO$44), "Q1 2024",_xlfn.XLOOKUP($B14,$B$28:$B$33,AO$28:AO$33))</f>
        <v>2298</v>
      </c>
      <c r="AP14" s="51" cm="1">
        <f t="array" ref="AP14">_xlfn.SWITCH($E$5,"Q4 2024",_xlfn.XLOOKUP($B14,$B$61:$B$66,AP$61:AP$66),
"Q3 2024",_xlfn.XLOOKUP($B14,$B$50:$B$55,AP$50:AP$55),
"Q2 2024",_xlfn.XLOOKUP($B14,$B$39:$B$44,AP$39:AP$44), "Q1 2024",_xlfn.XLOOKUP($B14,$B$28:$B$33,AP$28:AP$33))</f>
        <v>2200</v>
      </c>
      <c r="AQ14" s="51" cm="1">
        <f t="array" ref="AQ14">_xlfn.SWITCH($E$5,"Q4 2024",_xlfn.XLOOKUP($B14,$B$61:$B$66,AQ$61:AQ$66),
"Q3 2024",_xlfn.XLOOKUP($B14,$B$50:$B$55,AQ$50:AQ$55),
"Q2 2024",_xlfn.XLOOKUP($B14,$B$39:$B$44,AQ$39:AQ$44), "Q1 2024",_xlfn.XLOOKUP($B14,$B$28:$B$33,AQ$28:AQ$33))</f>
        <v>2300</v>
      </c>
      <c r="AR14" s="51" cm="1">
        <f t="array" ref="AR14">_xlfn.SWITCH($E$5,"Q4 2024",_xlfn.XLOOKUP($B14,$B$61:$B$66,AR$61:AR$66),
"Q3 2024",_xlfn.XLOOKUP($B14,$B$50:$B$55,AR$50:AR$55),
"Q2 2024",_xlfn.XLOOKUP($B14,$B$39:$B$44,AR$39:AR$44), "Q1 2024",_xlfn.XLOOKUP($B14,$B$28:$B$33,AR$28:AR$33))</f>
        <v>2500</v>
      </c>
    </row>
    <row r="15" spans="1:44" ht="14.25" customHeight="1" x14ac:dyDescent="0.25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</row>
    <row r="16" spans="1:44" ht="21" x14ac:dyDescent="0.25">
      <c r="A16" s="31"/>
      <c r="B16" s="53" t="s">
        <v>29</v>
      </c>
      <c r="C16" s="54"/>
      <c r="D16" s="55">
        <f>SUM(C33:E33,C44:E44,C55:E55,C66:E66)</f>
        <v>9271500</v>
      </c>
      <c r="E16" s="31"/>
      <c r="F16" s="31"/>
      <c r="G16" s="31"/>
      <c r="H16" s="31"/>
      <c r="I16" s="31"/>
      <c r="J16" s="31"/>
      <c r="K16" s="31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</row>
    <row r="17" spans="1:44" ht="14.25" customHeight="1" x14ac:dyDescent="0.25">
      <c r="A17" s="31"/>
      <c r="B17" s="56" t="s">
        <v>30</v>
      </c>
      <c r="C17" s="57"/>
      <c r="D17" s="58">
        <f>SUM(L33:N33,L44:N44,L55:N55,L66:N66)</f>
        <v>3799</v>
      </c>
      <c r="E17" s="31"/>
      <c r="F17" s="31"/>
      <c r="G17" s="31"/>
      <c r="H17" s="31"/>
      <c r="I17" s="31"/>
      <c r="J17" s="31"/>
      <c r="K17" s="31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</row>
    <row r="18" spans="1:44" ht="14.25" customHeight="1" x14ac:dyDescent="0.25">
      <c r="A18" s="31"/>
      <c r="B18" s="56" t="s">
        <v>31</v>
      </c>
      <c r="C18" s="57"/>
      <c r="D18" s="58">
        <f>SUM(R33:T33,R44:T44,R55:T55,R66:T66)</f>
        <v>1228</v>
      </c>
      <c r="E18" s="30"/>
      <c r="F18" s="30"/>
      <c r="G18" s="30"/>
      <c r="H18" s="31"/>
      <c r="I18" s="31"/>
      <c r="J18" s="31"/>
      <c r="K18" s="31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</row>
    <row r="19" spans="1:44" ht="14.25" customHeight="1" x14ac:dyDescent="0.25">
      <c r="A19" s="31"/>
      <c r="B19" s="59" t="s">
        <v>32</v>
      </c>
      <c r="C19" s="60"/>
      <c r="D19" s="61">
        <f>D16/D17</f>
        <v>2440.5106607001844</v>
      </c>
      <c r="E19" s="31"/>
      <c r="F19" s="31"/>
      <c r="G19" s="31"/>
      <c r="H19" s="31"/>
      <c r="I19" s="31"/>
      <c r="J19" s="31"/>
      <c r="K19" s="31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</row>
    <row r="20" spans="1:44" ht="14.25" customHeight="1" x14ac:dyDescent="0.25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</row>
    <row r="21" spans="1:44" ht="14.25" customHeight="1" x14ac:dyDescent="0.25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</row>
    <row r="22" spans="1:44" ht="8.25" customHeight="1" x14ac:dyDescent="0.25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</row>
    <row r="23" spans="1:44" ht="14.25" hidden="1" customHeight="1" x14ac:dyDescent="0.25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</row>
    <row r="24" spans="1:44" ht="14.25" hidden="1" customHeight="1" x14ac:dyDescent="0.25">
      <c r="A24" s="27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</row>
    <row r="25" spans="1:44" s="39" customFormat="1" ht="52.5" customHeight="1" x14ac:dyDescent="0.3">
      <c r="A25" s="38"/>
      <c r="B25" s="62"/>
      <c r="C25" s="71" t="s">
        <v>33</v>
      </c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  <c r="AA25" s="72"/>
      <c r="AB25" s="72"/>
      <c r="AC25" s="72"/>
      <c r="AD25" s="72"/>
      <c r="AE25" s="72"/>
      <c r="AF25" s="72"/>
      <c r="AG25" s="72"/>
      <c r="AH25" s="72"/>
      <c r="AI25" s="72"/>
      <c r="AJ25" s="72"/>
      <c r="AK25" s="72"/>
      <c r="AL25" s="72"/>
      <c r="AM25" s="72"/>
      <c r="AN25" s="72"/>
      <c r="AO25" s="72"/>
      <c r="AP25" s="72"/>
      <c r="AQ25" s="72"/>
      <c r="AR25" s="72"/>
    </row>
    <row r="26" spans="1:44" s="39" customFormat="1" ht="14.25" customHeight="1" x14ac:dyDescent="0.25">
      <c r="A26" s="38"/>
      <c r="B26" s="68"/>
      <c r="C26" s="69" t="s">
        <v>34</v>
      </c>
      <c r="D26" s="69" t="s">
        <v>35</v>
      </c>
      <c r="E26" s="69" t="s">
        <v>36</v>
      </c>
      <c r="F26" s="69" t="s">
        <v>34</v>
      </c>
      <c r="G26" s="69" t="s">
        <v>35</v>
      </c>
      <c r="H26" s="69" t="s">
        <v>36</v>
      </c>
      <c r="I26" s="69" t="s">
        <v>34</v>
      </c>
      <c r="J26" s="69" t="s">
        <v>35</v>
      </c>
      <c r="K26" s="69" t="s">
        <v>36</v>
      </c>
      <c r="L26" s="82" t="s">
        <v>34</v>
      </c>
      <c r="M26" s="82" t="s">
        <v>35</v>
      </c>
      <c r="N26" s="82" t="s">
        <v>36</v>
      </c>
      <c r="O26" s="82" t="s">
        <v>34</v>
      </c>
      <c r="P26" s="82" t="s">
        <v>35</v>
      </c>
      <c r="Q26" s="82" t="s">
        <v>36</v>
      </c>
      <c r="R26" s="82" t="s">
        <v>34</v>
      </c>
      <c r="S26" s="82" t="s">
        <v>35</v>
      </c>
      <c r="T26" s="82" t="s">
        <v>36</v>
      </c>
      <c r="U26" s="82" t="s">
        <v>34</v>
      </c>
      <c r="V26" s="82" t="s">
        <v>35</v>
      </c>
      <c r="W26" s="82" t="s">
        <v>36</v>
      </c>
      <c r="X26" s="69" t="s">
        <v>34</v>
      </c>
      <c r="Y26" s="69" t="s">
        <v>35</v>
      </c>
      <c r="Z26" s="69" t="s">
        <v>36</v>
      </c>
      <c r="AA26" s="69" t="s">
        <v>34</v>
      </c>
      <c r="AB26" s="69" t="s">
        <v>35</v>
      </c>
      <c r="AC26" s="69" t="s">
        <v>36</v>
      </c>
      <c r="AD26" s="69" t="s">
        <v>34</v>
      </c>
      <c r="AE26" s="69" t="s">
        <v>35</v>
      </c>
      <c r="AF26" s="69" t="s">
        <v>36</v>
      </c>
      <c r="AG26" s="69" t="s">
        <v>34</v>
      </c>
      <c r="AH26" s="69" t="s">
        <v>35</v>
      </c>
      <c r="AI26" s="69" t="s">
        <v>36</v>
      </c>
      <c r="AJ26" s="69" t="s">
        <v>34</v>
      </c>
      <c r="AK26" s="69" t="s">
        <v>35</v>
      </c>
      <c r="AL26" s="69" t="s">
        <v>36</v>
      </c>
      <c r="AM26" s="69" t="s">
        <v>34</v>
      </c>
      <c r="AN26" s="69" t="s">
        <v>35</v>
      </c>
      <c r="AO26" s="69" t="s">
        <v>36</v>
      </c>
      <c r="AP26" s="69" t="s">
        <v>34</v>
      </c>
      <c r="AQ26" s="69" t="s">
        <v>35</v>
      </c>
      <c r="AR26" s="69" t="s">
        <v>36</v>
      </c>
    </row>
    <row r="27" spans="1:44" s="41" customFormat="1" ht="47.25" customHeight="1" x14ac:dyDescent="0.25">
      <c r="A27" s="40"/>
      <c r="B27" s="70"/>
      <c r="C27" s="69" t="s">
        <v>9</v>
      </c>
      <c r="D27" s="69" t="s">
        <v>9</v>
      </c>
      <c r="E27" s="69" t="s">
        <v>9</v>
      </c>
      <c r="F27" s="69" t="s">
        <v>10</v>
      </c>
      <c r="G27" s="69" t="s">
        <v>10</v>
      </c>
      <c r="H27" s="69" t="s">
        <v>10</v>
      </c>
      <c r="I27" s="69" t="s">
        <v>11</v>
      </c>
      <c r="J27" s="69" t="s">
        <v>11</v>
      </c>
      <c r="K27" s="69" t="s">
        <v>11</v>
      </c>
      <c r="L27" s="82" t="s">
        <v>12</v>
      </c>
      <c r="M27" s="82" t="s">
        <v>12</v>
      </c>
      <c r="N27" s="82" t="s">
        <v>12</v>
      </c>
      <c r="O27" s="82" t="s">
        <v>13</v>
      </c>
      <c r="P27" s="82" t="s">
        <v>13</v>
      </c>
      <c r="Q27" s="82" t="s">
        <v>13</v>
      </c>
      <c r="R27" s="82" t="s">
        <v>14</v>
      </c>
      <c r="S27" s="82" t="s">
        <v>14</v>
      </c>
      <c r="T27" s="82" t="s">
        <v>14</v>
      </c>
      <c r="U27" s="82" t="s">
        <v>15</v>
      </c>
      <c r="V27" s="82" t="s">
        <v>15</v>
      </c>
      <c r="W27" s="82" t="s">
        <v>15</v>
      </c>
      <c r="X27" s="69" t="s">
        <v>16</v>
      </c>
      <c r="Y27" s="69" t="s">
        <v>16</v>
      </c>
      <c r="Z27" s="69" t="s">
        <v>16</v>
      </c>
      <c r="AA27" s="69" t="s">
        <v>17</v>
      </c>
      <c r="AB27" s="69" t="s">
        <v>17</v>
      </c>
      <c r="AC27" s="69" t="s">
        <v>17</v>
      </c>
      <c r="AD27" s="69" t="s">
        <v>18</v>
      </c>
      <c r="AE27" s="69" t="s">
        <v>18</v>
      </c>
      <c r="AF27" s="69" t="s">
        <v>18</v>
      </c>
      <c r="AG27" s="69" t="s">
        <v>19</v>
      </c>
      <c r="AH27" s="69" t="s">
        <v>19</v>
      </c>
      <c r="AI27" s="69" t="s">
        <v>19</v>
      </c>
      <c r="AJ27" s="69" t="s">
        <v>20</v>
      </c>
      <c r="AK27" s="69" t="s">
        <v>20</v>
      </c>
      <c r="AL27" s="69" t="s">
        <v>20</v>
      </c>
      <c r="AM27" s="69" t="s">
        <v>21</v>
      </c>
      <c r="AN27" s="69" t="s">
        <v>21</v>
      </c>
      <c r="AO27" s="69" t="s">
        <v>21</v>
      </c>
      <c r="AP27" s="69" t="s">
        <v>22</v>
      </c>
      <c r="AQ27" s="69" t="s">
        <v>22</v>
      </c>
      <c r="AR27" s="69" t="s">
        <v>22</v>
      </c>
    </row>
    <row r="28" spans="1:44" s="64" customFormat="1" ht="14.25" customHeight="1" x14ac:dyDescent="0.25">
      <c r="A28" s="63"/>
      <c r="B28" s="66" t="s">
        <v>23</v>
      </c>
      <c r="C28" s="66">
        <v>135000</v>
      </c>
      <c r="D28" s="66">
        <v>130000</v>
      </c>
      <c r="E28" s="66">
        <v>160000</v>
      </c>
      <c r="F28" s="66">
        <v>150000</v>
      </c>
      <c r="G28" s="66">
        <v>140000</v>
      </c>
      <c r="H28" s="66">
        <v>150000</v>
      </c>
      <c r="I28" s="66">
        <v>115000</v>
      </c>
      <c r="J28" s="66">
        <v>140000</v>
      </c>
      <c r="K28" s="66">
        <v>160000</v>
      </c>
      <c r="L28" s="83">
        <v>57</v>
      </c>
      <c r="M28" s="83">
        <v>58</v>
      </c>
      <c r="N28" s="83">
        <v>63</v>
      </c>
      <c r="O28" s="83">
        <v>25</v>
      </c>
      <c r="P28" s="83">
        <v>20</v>
      </c>
      <c r="Q28" s="83">
        <v>25</v>
      </c>
      <c r="R28" s="83">
        <v>10</v>
      </c>
      <c r="S28" s="83">
        <v>11</v>
      </c>
      <c r="T28" s="83">
        <v>18</v>
      </c>
      <c r="U28" s="83">
        <v>9</v>
      </c>
      <c r="V28" s="83">
        <v>12</v>
      </c>
      <c r="W28" s="83">
        <v>14</v>
      </c>
      <c r="X28" s="66">
        <v>4200</v>
      </c>
      <c r="Y28" s="66">
        <v>5000</v>
      </c>
      <c r="Z28" s="66">
        <v>5500</v>
      </c>
      <c r="AA28" s="66">
        <v>420</v>
      </c>
      <c r="AB28" s="66">
        <v>454.55</v>
      </c>
      <c r="AC28" s="66">
        <v>305.56</v>
      </c>
      <c r="AD28" s="66">
        <v>350</v>
      </c>
      <c r="AE28" s="66">
        <v>350</v>
      </c>
      <c r="AF28" s="66">
        <v>350</v>
      </c>
      <c r="AG28" s="66">
        <v>400</v>
      </c>
      <c r="AH28" s="66">
        <v>385</v>
      </c>
      <c r="AI28" s="66">
        <v>390</v>
      </c>
      <c r="AJ28" s="66">
        <v>2192.98</v>
      </c>
      <c r="AK28" s="66">
        <v>2241.38</v>
      </c>
      <c r="AL28" s="66">
        <v>2539.6799999999998</v>
      </c>
      <c r="AM28" s="66">
        <v>2200</v>
      </c>
      <c r="AN28" s="66">
        <v>2100</v>
      </c>
      <c r="AO28" s="66">
        <v>2400</v>
      </c>
      <c r="AP28" s="66">
        <v>2500</v>
      </c>
      <c r="AQ28" s="66">
        <v>2600</v>
      </c>
      <c r="AR28" s="66">
        <v>2400</v>
      </c>
    </row>
    <row r="29" spans="1:44" s="64" customFormat="1" ht="14.25" customHeight="1" x14ac:dyDescent="0.25">
      <c r="A29" s="63"/>
      <c r="B29" s="66" t="s">
        <v>24</v>
      </c>
      <c r="C29" s="66">
        <v>170000</v>
      </c>
      <c r="D29" s="66">
        <v>160000</v>
      </c>
      <c r="E29" s="66">
        <v>185000</v>
      </c>
      <c r="F29" s="66">
        <v>150000</v>
      </c>
      <c r="G29" s="66">
        <v>140000</v>
      </c>
      <c r="H29" s="66">
        <v>150000</v>
      </c>
      <c r="I29" s="66">
        <v>160000</v>
      </c>
      <c r="J29" s="66">
        <v>130000</v>
      </c>
      <c r="K29" s="66">
        <v>125000</v>
      </c>
      <c r="L29" s="83">
        <v>74</v>
      </c>
      <c r="M29" s="83">
        <v>70</v>
      </c>
      <c r="N29" s="83">
        <v>74</v>
      </c>
      <c r="O29" s="83">
        <v>25</v>
      </c>
      <c r="P29" s="83">
        <v>20</v>
      </c>
      <c r="Q29" s="83">
        <v>25</v>
      </c>
      <c r="R29" s="83">
        <v>22</v>
      </c>
      <c r="S29" s="83">
        <v>23</v>
      </c>
      <c r="T29" s="83">
        <v>26</v>
      </c>
      <c r="U29" s="83">
        <v>17</v>
      </c>
      <c r="V29" s="83">
        <v>24</v>
      </c>
      <c r="W29" s="83">
        <v>22</v>
      </c>
      <c r="X29" s="66">
        <v>7800</v>
      </c>
      <c r="Y29" s="66">
        <v>10000</v>
      </c>
      <c r="Z29" s="66">
        <v>9000</v>
      </c>
      <c r="AA29" s="66">
        <v>354.55</v>
      </c>
      <c r="AB29" s="66">
        <v>434.78</v>
      </c>
      <c r="AC29" s="66">
        <v>346.15</v>
      </c>
      <c r="AD29" s="66">
        <v>350</v>
      </c>
      <c r="AE29" s="66">
        <v>350</v>
      </c>
      <c r="AF29" s="66">
        <v>350</v>
      </c>
      <c r="AG29" s="66">
        <v>402</v>
      </c>
      <c r="AH29" s="66">
        <v>290</v>
      </c>
      <c r="AI29" s="66">
        <v>380</v>
      </c>
      <c r="AJ29" s="66">
        <v>2432.4299999999998</v>
      </c>
      <c r="AK29" s="66">
        <v>2285.71</v>
      </c>
      <c r="AL29" s="66">
        <v>2500</v>
      </c>
      <c r="AM29" s="66">
        <v>2100</v>
      </c>
      <c r="AN29" s="66">
        <v>2200</v>
      </c>
      <c r="AO29" s="66">
        <v>2300</v>
      </c>
      <c r="AP29" s="66">
        <v>2500</v>
      </c>
      <c r="AQ29" s="66">
        <v>2600</v>
      </c>
      <c r="AR29" s="66">
        <v>2400</v>
      </c>
    </row>
    <row r="30" spans="1:44" s="64" customFormat="1" ht="14.25" customHeight="1" x14ac:dyDescent="0.25">
      <c r="A30" s="63"/>
      <c r="B30" s="66" t="s">
        <v>25</v>
      </c>
      <c r="C30" s="66">
        <v>175000</v>
      </c>
      <c r="D30" s="66">
        <v>135000</v>
      </c>
      <c r="E30" s="66">
        <v>145000</v>
      </c>
      <c r="F30" s="66">
        <v>150000</v>
      </c>
      <c r="G30" s="66">
        <v>140000</v>
      </c>
      <c r="H30" s="66">
        <v>150000</v>
      </c>
      <c r="I30" s="66">
        <v>170000</v>
      </c>
      <c r="J30" s="66">
        <v>145000</v>
      </c>
      <c r="K30" s="66">
        <v>130000</v>
      </c>
      <c r="L30" s="83">
        <v>70</v>
      </c>
      <c r="M30" s="83">
        <v>55</v>
      </c>
      <c r="N30" s="83">
        <v>61</v>
      </c>
      <c r="O30" s="83">
        <v>25</v>
      </c>
      <c r="P30" s="83">
        <v>20</v>
      </c>
      <c r="Q30" s="83">
        <v>25</v>
      </c>
      <c r="R30" s="83">
        <v>35</v>
      </c>
      <c r="S30" s="83">
        <v>20</v>
      </c>
      <c r="T30" s="83">
        <v>17</v>
      </c>
      <c r="U30" s="83">
        <v>36</v>
      </c>
      <c r="V30" s="83">
        <v>25</v>
      </c>
      <c r="W30" s="83">
        <v>21</v>
      </c>
      <c r="X30" s="66">
        <v>13200</v>
      </c>
      <c r="Y30" s="66">
        <v>9500</v>
      </c>
      <c r="Z30" s="66">
        <v>8300</v>
      </c>
      <c r="AA30" s="66">
        <v>377.14</v>
      </c>
      <c r="AB30" s="66">
        <v>475</v>
      </c>
      <c r="AC30" s="66">
        <v>488.24</v>
      </c>
      <c r="AD30" s="66">
        <v>350</v>
      </c>
      <c r="AE30" s="66">
        <v>350</v>
      </c>
      <c r="AF30" s="66">
        <v>350</v>
      </c>
      <c r="AG30" s="66">
        <v>350</v>
      </c>
      <c r="AH30" s="66">
        <v>385</v>
      </c>
      <c r="AI30" s="66">
        <v>352</v>
      </c>
      <c r="AJ30" s="66">
        <v>2428.5700000000002</v>
      </c>
      <c r="AK30" s="66">
        <v>2454.5500000000002</v>
      </c>
      <c r="AL30" s="66">
        <v>2377.0500000000002</v>
      </c>
      <c r="AM30" s="66">
        <v>2500</v>
      </c>
      <c r="AN30" s="66">
        <v>2500</v>
      </c>
      <c r="AO30" s="66">
        <v>2300</v>
      </c>
      <c r="AP30" s="66">
        <v>2500</v>
      </c>
      <c r="AQ30" s="66">
        <v>2600</v>
      </c>
      <c r="AR30" s="66">
        <v>2400</v>
      </c>
    </row>
    <row r="31" spans="1:44" s="64" customFormat="1" ht="14.25" customHeight="1" x14ac:dyDescent="0.25">
      <c r="A31" s="63"/>
      <c r="B31" s="66" t="s">
        <v>26</v>
      </c>
      <c r="C31" s="66">
        <v>156000</v>
      </c>
      <c r="D31" s="66">
        <v>175000</v>
      </c>
      <c r="E31" s="66">
        <v>155000</v>
      </c>
      <c r="F31" s="66">
        <v>150000</v>
      </c>
      <c r="G31" s="66">
        <v>140000</v>
      </c>
      <c r="H31" s="66">
        <v>150000</v>
      </c>
      <c r="I31" s="66">
        <v>165000</v>
      </c>
      <c r="J31" s="66">
        <v>155000</v>
      </c>
      <c r="K31" s="66">
        <v>140000</v>
      </c>
      <c r="L31" s="83">
        <v>66</v>
      </c>
      <c r="M31" s="83">
        <v>68</v>
      </c>
      <c r="N31" s="83">
        <v>63</v>
      </c>
      <c r="O31" s="83">
        <v>25</v>
      </c>
      <c r="P31" s="83">
        <v>20</v>
      </c>
      <c r="Q31" s="83">
        <v>25</v>
      </c>
      <c r="R31" s="83">
        <v>18</v>
      </c>
      <c r="S31" s="83">
        <v>14</v>
      </c>
      <c r="T31" s="83">
        <v>24</v>
      </c>
      <c r="U31" s="83">
        <v>14</v>
      </c>
      <c r="V31" s="83">
        <v>25</v>
      </c>
      <c r="W31" s="83">
        <v>22</v>
      </c>
      <c r="X31" s="66">
        <v>6500</v>
      </c>
      <c r="Y31" s="66">
        <v>9000</v>
      </c>
      <c r="Z31" s="66">
        <v>8500</v>
      </c>
      <c r="AA31" s="66">
        <v>361.11</v>
      </c>
      <c r="AB31" s="66">
        <v>642.86</v>
      </c>
      <c r="AC31" s="66">
        <v>354.17</v>
      </c>
      <c r="AD31" s="66">
        <v>350</v>
      </c>
      <c r="AE31" s="66">
        <v>350</v>
      </c>
      <c r="AF31" s="66">
        <v>350</v>
      </c>
      <c r="AG31" s="66">
        <v>350</v>
      </c>
      <c r="AH31" s="66">
        <v>360</v>
      </c>
      <c r="AI31" s="66">
        <v>388</v>
      </c>
      <c r="AJ31" s="66">
        <v>2272.73</v>
      </c>
      <c r="AK31" s="66">
        <v>2573.5300000000002</v>
      </c>
      <c r="AL31" s="66">
        <v>2460.3200000000002</v>
      </c>
      <c r="AM31" s="66">
        <v>2200</v>
      </c>
      <c r="AN31" s="66">
        <v>2600</v>
      </c>
      <c r="AO31" s="66">
        <v>2400</v>
      </c>
      <c r="AP31" s="66">
        <v>2500</v>
      </c>
      <c r="AQ31" s="66">
        <v>2600</v>
      </c>
      <c r="AR31" s="66">
        <v>2400</v>
      </c>
    </row>
    <row r="32" spans="1:44" s="64" customFormat="1" ht="14.25" customHeight="1" x14ac:dyDescent="0.25">
      <c r="A32" s="63"/>
      <c r="B32" s="66" t="s">
        <v>27</v>
      </c>
      <c r="C32" s="66">
        <v>135500</v>
      </c>
      <c r="D32" s="66">
        <v>190000</v>
      </c>
      <c r="E32" s="66">
        <v>140000</v>
      </c>
      <c r="F32" s="66">
        <v>150000</v>
      </c>
      <c r="G32" s="66">
        <v>140000</v>
      </c>
      <c r="H32" s="66">
        <v>150000</v>
      </c>
      <c r="I32" s="66">
        <v>155000</v>
      </c>
      <c r="J32" s="66">
        <v>120000</v>
      </c>
      <c r="K32" s="66">
        <v>150000</v>
      </c>
      <c r="L32" s="83">
        <v>71</v>
      </c>
      <c r="M32" s="83">
        <v>62</v>
      </c>
      <c r="N32" s="83">
        <v>51</v>
      </c>
      <c r="O32" s="83">
        <v>25</v>
      </c>
      <c r="P32" s="83">
        <v>20</v>
      </c>
      <c r="Q32" s="83">
        <v>25</v>
      </c>
      <c r="R32" s="83">
        <v>33</v>
      </c>
      <c r="S32" s="83">
        <v>20</v>
      </c>
      <c r="T32" s="83">
        <v>16</v>
      </c>
      <c r="U32" s="83">
        <v>20</v>
      </c>
      <c r="V32" s="83">
        <v>25</v>
      </c>
      <c r="W32" s="83">
        <v>24</v>
      </c>
      <c r="X32" s="66">
        <v>12100</v>
      </c>
      <c r="Y32" s="66">
        <v>10800</v>
      </c>
      <c r="Z32" s="66">
        <v>10500</v>
      </c>
      <c r="AA32" s="66">
        <v>366.67</v>
      </c>
      <c r="AB32" s="66">
        <v>540</v>
      </c>
      <c r="AC32" s="66">
        <v>656.25</v>
      </c>
      <c r="AD32" s="66">
        <v>350</v>
      </c>
      <c r="AE32" s="66">
        <v>350</v>
      </c>
      <c r="AF32" s="66">
        <v>350</v>
      </c>
      <c r="AG32" s="66">
        <v>385</v>
      </c>
      <c r="AH32" s="66">
        <v>350</v>
      </c>
      <c r="AI32" s="66">
        <v>406</v>
      </c>
      <c r="AJ32" s="66">
        <v>1901.41</v>
      </c>
      <c r="AK32" s="66">
        <v>3064.52</v>
      </c>
      <c r="AL32" s="66">
        <v>2745.1</v>
      </c>
      <c r="AM32" s="66">
        <v>2100</v>
      </c>
      <c r="AN32" s="66">
        <v>2800</v>
      </c>
      <c r="AO32" s="66">
        <v>2700</v>
      </c>
      <c r="AP32" s="66">
        <v>2500</v>
      </c>
      <c r="AQ32" s="66">
        <v>2600</v>
      </c>
      <c r="AR32" s="66">
        <v>2400</v>
      </c>
    </row>
    <row r="33" spans="1:44" s="64" customFormat="1" ht="14.25" customHeight="1" x14ac:dyDescent="0.25">
      <c r="A33" s="65"/>
      <c r="B33" s="67" t="s">
        <v>28</v>
      </c>
      <c r="C33" s="67">
        <f t="shared" ref="C33:Z33" si="0">SUM(C28:C32)</f>
        <v>771500</v>
      </c>
      <c r="D33" s="67">
        <f t="shared" si="0"/>
        <v>790000</v>
      </c>
      <c r="E33" s="67">
        <f t="shared" si="0"/>
        <v>785000</v>
      </c>
      <c r="F33" s="67">
        <f t="shared" si="0"/>
        <v>750000</v>
      </c>
      <c r="G33" s="67">
        <f t="shared" si="0"/>
        <v>700000</v>
      </c>
      <c r="H33" s="67">
        <f t="shared" si="0"/>
        <v>750000</v>
      </c>
      <c r="I33" s="67">
        <f t="shared" si="0"/>
        <v>765000</v>
      </c>
      <c r="J33" s="67">
        <f t="shared" si="0"/>
        <v>690000</v>
      </c>
      <c r="K33" s="67">
        <f t="shared" si="0"/>
        <v>705000</v>
      </c>
      <c r="L33" s="84">
        <f t="shared" si="0"/>
        <v>338</v>
      </c>
      <c r="M33" s="84">
        <f t="shared" si="0"/>
        <v>313</v>
      </c>
      <c r="N33" s="84">
        <f t="shared" si="0"/>
        <v>312</v>
      </c>
      <c r="O33" s="84">
        <f t="shared" si="0"/>
        <v>125</v>
      </c>
      <c r="P33" s="84">
        <f t="shared" si="0"/>
        <v>100</v>
      </c>
      <c r="Q33" s="84">
        <f t="shared" si="0"/>
        <v>125</v>
      </c>
      <c r="R33" s="84">
        <f t="shared" si="0"/>
        <v>118</v>
      </c>
      <c r="S33" s="84">
        <f t="shared" si="0"/>
        <v>88</v>
      </c>
      <c r="T33" s="84">
        <f t="shared" si="0"/>
        <v>101</v>
      </c>
      <c r="U33" s="84">
        <f t="shared" si="0"/>
        <v>96</v>
      </c>
      <c r="V33" s="84">
        <f t="shared" si="0"/>
        <v>111</v>
      </c>
      <c r="W33" s="84">
        <f t="shared" si="0"/>
        <v>103</v>
      </c>
      <c r="X33" s="67">
        <f t="shared" si="0"/>
        <v>43800</v>
      </c>
      <c r="Y33" s="67">
        <f t="shared" si="0"/>
        <v>44300</v>
      </c>
      <c r="Z33" s="67">
        <f t="shared" si="0"/>
        <v>41800</v>
      </c>
      <c r="AA33" s="67">
        <f t="shared" ref="AA33:AR33" si="1">AVERAGE(AA28:AA32)</f>
        <v>375.89400000000006</v>
      </c>
      <c r="AB33" s="67">
        <f t="shared" si="1"/>
        <v>509.43799999999999</v>
      </c>
      <c r="AC33" s="67">
        <f t="shared" si="1"/>
        <v>430.07399999999996</v>
      </c>
      <c r="AD33" s="67">
        <f t="shared" si="1"/>
        <v>350</v>
      </c>
      <c r="AE33" s="67">
        <f t="shared" si="1"/>
        <v>350</v>
      </c>
      <c r="AF33" s="67">
        <f t="shared" si="1"/>
        <v>350</v>
      </c>
      <c r="AG33" s="67">
        <f t="shared" si="1"/>
        <v>377.4</v>
      </c>
      <c r="AH33" s="67">
        <f t="shared" si="1"/>
        <v>354</v>
      </c>
      <c r="AI33" s="67">
        <f t="shared" si="1"/>
        <v>383.2</v>
      </c>
      <c r="AJ33" s="67">
        <f t="shared" si="1"/>
        <v>2245.6239999999998</v>
      </c>
      <c r="AK33" s="67">
        <f t="shared" si="1"/>
        <v>2523.9380000000001</v>
      </c>
      <c r="AL33" s="67">
        <f t="shared" si="1"/>
        <v>2524.4300000000003</v>
      </c>
      <c r="AM33" s="67">
        <f t="shared" si="1"/>
        <v>2220</v>
      </c>
      <c r="AN33" s="67">
        <f t="shared" si="1"/>
        <v>2440</v>
      </c>
      <c r="AO33" s="67">
        <f t="shared" si="1"/>
        <v>2420</v>
      </c>
      <c r="AP33" s="67">
        <f t="shared" si="1"/>
        <v>2500</v>
      </c>
      <c r="AQ33" s="67">
        <f t="shared" si="1"/>
        <v>2600</v>
      </c>
      <c r="AR33" s="67">
        <f t="shared" si="1"/>
        <v>2400</v>
      </c>
    </row>
    <row r="34" spans="1:44" ht="14.25" customHeight="1" x14ac:dyDescent="0.25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</row>
    <row r="35" spans="1:44" ht="14.25" customHeight="1" x14ac:dyDescent="0.25">
      <c r="A35" s="27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</row>
    <row r="36" spans="1:44" ht="14.25" customHeight="1" x14ac:dyDescent="0.25">
      <c r="A36" s="27"/>
      <c r="B36" s="32"/>
      <c r="C36" s="71" t="s">
        <v>37</v>
      </c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</row>
    <row r="37" spans="1:44" s="41" customFormat="1" ht="17.25" customHeight="1" x14ac:dyDescent="0.25">
      <c r="A37" s="40"/>
      <c r="B37" s="70"/>
      <c r="C37" s="69" t="s">
        <v>38</v>
      </c>
      <c r="D37" s="69" t="s">
        <v>39</v>
      </c>
      <c r="E37" s="69" t="s">
        <v>40</v>
      </c>
      <c r="F37" s="69" t="s">
        <v>38</v>
      </c>
      <c r="G37" s="69" t="s">
        <v>39</v>
      </c>
      <c r="H37" s="69" t="s">
        <v>40</v>
      </c>
      <c r="I37" s="69" t="s">
        <v>38</v>
      </c>
      <c r="J37" s="69" t="s">
        <v>39</v>
      </c>
      <c r="K37" s="69" t="s">
        <v>40</v>
      </c>
      <c r="L37" s="82" t="s">
        <v>38</v>
      </c>
      <c r="M37" s="82" t="s">
        <v>39</v>
      </c>
      <c r="N37" s="82" t="s">
        <v>40</v>
      </c>
      <c r="O37" s="82" t="s">
        <v>38</v>
      </c>
      <c r="P37" s="82" t="s">
        <v>39</v>
      </c>
      <c r="Q37" s="82" t="s">
        <v>40</v>
      </c>
      <c r="R37" s="82" t="s">
        <v>38</v>
      </c>
      <c r="S37" s="82" t="s">
        <v>39</v>
      </c>
      <c r="T37" s="82" t="s">
        <v>40</v>
      </c>
      <c r="U37" s="82" t="s">
        <v>38</v>
      </c>
      <c r="V37" s="82" t="s">
        <v>39</v>
      </c>
      <c r="W37" s="82" t="s">
        <v>40</v>
      </c>
      <c r="X37" s="69" t="s">
        <v>38</v>
      </c>
      <c r="Y37" s="69" t="s">
        <v>39</v>
      </c>
      <c r="Z37" s="69" t="s">
        <v>40</v>
      </c>
      <c r="AA37" s="69" t="s">
        <v>38</v>
      </c>
      <c r="AB37" s="69" t="s">
        <v>39</v>
      </c>
      <c r="AC37" s="69" t="s">
        <v>40</v>
      </c>
      <c r="AD37" s="69" t="s">
        <v>38</v>
      </c>
      <c r="AE37" s="69" t="s">
        <v>39</v>
      </c>
      <c r="AF37" s="69" t="s">
        <v>40</v>
      </c>
      <c r="AG37" s="69" t="s">
        <v>38</v>
      </c>
      <c r="AH37" s="69" t="s">
        <v>39</v>
      </c>
      <c r="AI37" s="69" t="s">
        <v>40</v>
      </c>
      <c r="AJ37" s="69" t="s">
        <v>38</v>
      </c>
      <c r="AK37" s="69" t="s">
        <v>39</v>
      </c>
      <c r="AL37" s="69" t="s">
        <v>40</v>
      </c>
      <c r="AM37" s="69" t="s">
        <v>38</v>
      </c>
      <c r="AN37" s="69" t="s">
        <v>39</v>
      </c>
      <c r="AO37" s="69" t="s">
        <v>40</v>
      </c>
      <c r="AP37" s="69" t="s">
        <v>38</v>
      </c>
      <c r="AQ37" s="69" t="s">
        <v>39</v>
      </c>
      <c r="AR37" s="69" t="s">
        <v>40</v>
      </c>
    </row>
    <row r="38" spans="1:44" s="41" customFormat="1" ht="43.5" customHeight="1" x14ac:dyDescent="0.25">
      <c r="A38" s="40"/>
      <c r="B38" s="70"/>
      <c r="C38" s="69" t="s">
        <v>9</v>
      </c>
      <c r="D38" s="69" t="s">
        <v>9</v>
      </c>
      <c r="E38" s="69" t="s">
        <v>9</v>
      </c>
      <c r="F38" s="69" t="s">
        <v>10</v>
      </c>
      <c r="G38" s="69" t="s">
        <v>10</v>
      </c>
      <c r="H38" s="69" t="s">
        <v>10</v>
      </c>
      <c r="I38" s="69" t="s">
        <v>11</v>
      </c>
      <c r="J38" s="69" t="s">
        <v>11</v>
      </c>
      <c r="K38" s="69" t="s">
        <v>11</v>
      </c>
      <c r="L38" s="82" t="s">
        <v>12</v>
      </c>
      <c r="M38" s="82" t="s">
        <v>12</v>
      </c>
      <c r="N38" s="82" t="s">
        <v>12</v>
      </c>
      <c r="O38" s="82" t="s">
        <v>13</v>
      </c>
      <c r="P38" s="82" t="s">
        <v>13</v>
      </c>
      <c r="Q38" s="82" t="s">
        <v>13</v>
      </c>
      <c r="R38" s="82" t="s">
        <v>14</v>
      </c>
      <c r="S38" s="82" t="s">
        <v>14</v>
      </c>
      <c r="T38" s="82" t="s">
        <v>14</v>
      </c>
      <c r="U38" s="82" t="s">
        <v>15</v>
      </c>
      <c r="V38" s="82" t="s">
        <v>15</v>
      </c>
      <c r="W38" s="82" t="s">
        <v>15</v>
      </c>
      <c r="X38" s="69" t="s">
        <v>16</v>
      </c>
      <c r="Y38" s="69" t="s">
        <v>16</v>
      </c>
      <c r="Z38" s="69" t="s">
        <v>16</v>
      </c>
      <c r="AA38" s="69" t="s">
        <v>17</v>
      </c>
      <c r="AB38" s="69" t="s">
        <v>17</v>
      </c>
      <c r="AC38" s="69" t="s">
        <v>17</v>
      </c>
      <c r="AD38" s="69" t="s">
        <v>18</v>
      </c>
      <c r="AE38" s="69" t="s">
        <v>18</v>
      </c>
      <c r="AF38" s="69" t="s">
        <v>18</v>
      </c>
      <c r="AG38" s="69" t="s">
        <v>19</v>
      </c>
      <c r="AH38" s="69" t="s">
        <v>19</v>
      </c>
      <c r="AI38" s="69" t="s">
        <v>19</v>
      </c>
      <c r="AJ38" s="69" t="s">
        <v>20</v>
      </c>
      <c r="AK38" s="69" t="s">
        <v>20</v>
      </c>
      <c r="AL38" s="69" t="s">
        <v>20</v>
      </c>
      <c r="AM38" s="69" t="s">
        <v>21</v>
      </c>
      <c r="AN38" s="69" t="s">
        <v>21</v>
      </c>
      <c r="AO38" s="69" t="s">
        <v>21</v>
      </c>
      <c r="AP38" s="69" t="s">
        <v>22</v>
      </c>
      <c r="AQ38" s="69" t="s">
        <v>22</v>
      </c>
      <c r="AR38" s="69" t="s">
        <v>22</v>
      </c>
    </row>
    <row r="39" spans="1:44" ht="14.25" customHeight="1" x14ac:dyDescent="0.25">
      <c r="A39" s="33"/>
      <c r="B39" s="73" t="s">
        <v>23</v>
      </c>
      <c r="C39" s="73">
        <v>130000</v>
      </c>
      <c r="D39" s="73">
        <v>135000</v>
      </c>
      <c r="E39" s="73">
        <v>150000</v>
      </c>
      <c r="F39" s="73">
        <v>150000</v>
      </c>
      <c r="G39" s="73">
        <v>160000</v>
      </c>
      <c r="H39" s="73">
        <v>140000</v>
      </c>
      <c r="I39" s="73">
        <v>125000</v>
      </c>
      <c r="J39" s="73">
        <v>160000</v>
      </c>
      <c r="K39" s="73">
        <v>135000</v>
      </c>
      <c r="L39" s="85">
        <v>58</v>
      </c>
      <c r="M39" s="85">
        <v>63</v>
      </c>
      <c r="N39" s="85">
        <v>55</v>
      </c>
      <c r="O39" s="85">
        <v>30</v>
      </c>
      <c r="P39" s="85">
        <v>30</v>
      </c>
      <c r="Q39" s="85">
        <v>25</v>
      </c>
      <c r="R39" s="85">
        <v>12</v>
      </c>
      <c r="S39" s="85">
        <v>25</v>
      </c>
      <c r="T39" s="85">
        <v>11</v>
      </c>
      <c r="U39" s="85">
        <v>11</v>
      </c>
      <c r="V39" s="85">
        <v>21</v>
      </c>
      <c r="W39" s="85">
        <v>14</v>
      </c>
      <c r="X39" s="73">
        <v>5000</v>
      </c>
      <c r="Y39" s="73">
        <v>4500</v>
      </c>
      <c r="Z39" s="73">
        <v>5000</v>
      </c>
      <c r="AA39" s="73">
        <v>416.67</v>
      </c>
      <c r="AB39" s="73">
        <v>180</v>
      </c>
      <c r="AC39" s="73">
        <v>454.55</v>
      </c>
      <c r="AD39" s="73">
        <v>400</v>
      </c>
      <c r="AE39" s="73">
        <v>350</v>
      </c>
      <c r="AF39" s="73">
        <v>350</v>
      </c>
      <c r="AG39" s="73">
        <v>400</v>
      </c>
      <c r="AH39" s="73">
        <v>385</v>
      </c>
      <c r="AI39" s="73">
        <v>390</v>
      </c>
      <c r="AJ39" s="73">
        <v>2068.9699999999998</v>
      </c>
      <c r="AK39" s="73">
        <v>2142.86</v>
      </c>
      <c r="AL39" s="73">
        <v>2727.27</v>
      </c>
      <c r="AM39" s="73">
        <v>2100</v>
      </c>
      <c r="AN39" s="73">
        <v>2000</v>
      </c>
      <c r="AO39" s="73">
        <v>2600</v>
      </c>
      <c r="AP39" s="73">
        <v>2700</v>
      </c>
      <c r="AQ39" s="73">
        <v>2500</v>
      </c>
      <c r="AR39" s="73">
        <v>2600</v>
      </c>
    </row>
    <row r="40" spans="1:44" ht="14.25" customHeight="1" x14ac:dyDescent="0.25">
      <c r="A40" s="33"/>
      <c r="B40" s="66" t="s">
        <v>24</v>
      </c>
      <c r="C40" s="66">
        <v>175000</v>
      </c>
      <c r="D40" s="66">
        <v>155000</v>
      </c>
      <c r="E40" s="66">
        <v>190000</v>
      </c>
      <c r="F40" s="66">
        <v>150000</v>
      </c>
      <c r="G40" s="66">
        <v>160000</v>
      </c>
      <c r="H40" s="66">
        <v>140000</v>
      </c>
      <c r="I40" s="66">
        <v>145000</v>
      </c>
      <c r="J40" s="66">
        <v>125000</v>
      </c>
      <c r="K40" s="66">
        <v>125000</v>
      </c>
      <c r="L40" s="83">
        <v>70</v>
      </c>
      <c r="M40" s="83">
        <v>74</v>
      </c>
      <c r="N40" s="83">
        <v>65</v>
      </c>
      <c r="O40" s="83">
        <v>30</v>
      </c>
      <c r="P40" s="83">
        <v>30</v>
      </c>
      <c r="Q40" s="83">
        <v>25</v>
      </c>
      <c r="R40" s="83">
        <v>26</v>
      </c>
      <c r="S40" s="83">
        <v>18</v>
      </c>
      <c r="T40" s="83">
        <v>23</v>
      </c>
      <c r="U40" s="83">
        <v>17</v>
      </c>
      <c r="V40" s="83">
        <v>18</v>
      </c>
      <c r="W40" s="83">
        <v>15</v>
      </c>
      <c r="X40" s="66">
        <v>9800</v>
      </c>
      <c r="Y40" s="66">
        <v>9800</v>
      </c>
      <c r="Z40" s="66">
        <v>6500</v>
      </c>
      <c r="AA40" s="66">
        <v>376.92</v>
      </c>
      <c r="AB40" s="66">
        <v>544.44000000000005</v>
      </c>
      <c r="AC40" s="66">
        <v>282.61</v>
      </c>
      <c r="AD40" s="66">
        <v>400</v>
      </c>
      <c r="AE40" s="66">
        <v>350</v>
      </c>
      <c r="AF40" s="66">
        <v>350</v>
      </c>
      <c r="AG40" s="66">
        <v>402</v>
      </c>
      <c r="AH40" s="66">
        <v>290</v>
      </c>
      <c r="AI40" s="66">
        <v>380</v>
      </c>
      <c r="AJ40" s="66">
        <v>2500</v>
      </c>
      <c r="AK40" s="66">
        <v>2094.59</v>
      </c>
      <c r="AL40" s="66">
        <v>2923.08</v>
      </c>
      <c r="AM40" s="66">
        <v>2200</v>
      </c>
      <c r="AN40" s="66">
        <v>2000</v>
      </c>
      <c r="AO40" s="66">
        <v>2200</v>
      </c>
      <c r="AP40" s="66">
        <v>2700</v>
      </c>
      <c r="AQ40" s="66">
        <v>2500</v>
      </c>
      <c r="AR40" s="66">
        <v>2600</v>
      </c>
    </row>
    <row r="41" spans="1:44" ht="14.25" customHeight="1" x14ac:dyDescent="0.25">
      <c r="A41" s="33"/>
      <c r="B41" s="66" t="s">
        <v>25</v>
      </c>
      <c r="C41" s="66">
        <v>180000</v>
      </c>
      <c r="D41" s="66">
        <v>145000</v>
      </c>
      <c r="E41" s="66">
        <v>155000</v>
      </c>
      <c r="F41" s="66">
        <v>150000</v>
      </c>
      <c r="G41" s="66">
        <v>160000</v>
      </c>
      <c r="H41" s="66">
        <v>140000</v>
      </c>
      <c r="I41" s="66">
        <v>155000</v>
      </c>
      <c r="J41" s="66">
        <v>130000</v>
      </c>
      <c r="K41" s="66">
        <v>125000</v>
      </c>
      <c r="L41" s="83">
        <v>55</v>
      </c>
      <c r="M41" s="83">
        <v>61</v>
      </c>
      <c r="N41" s="83">
        <v>44</v>
      </c>
      <c r="O41" s="83">
        <v>30</v>
      </c>
      <c r="P41" s="83">
        <v>30</v>
      </c>
      <c r="Q41" s="83">
        <v>25</v>
      </c>
      <c r="R41" s="83">
        <v>31</v>
      </c>
      <c r="S41" s="83">
        <v>25</v>
      </c>
      <c r="T41" s="83">
        <v>20</v>
      </c>
      <c r="U41" s="83">
        <v>25</v>
      </c>
      <c r="V41" s="83">
        <v>21</v>
      </c>
      <c r="W41" s="83">
        <v>22</v>
      </c>
      <c r="X41" s="66">
        <v>9500</v>
      </c>
      <c r="Y41" s="66">
        <v>10200</v>
      </c>
      <c r="Z41" s="66">
        <v>8000</v>
      </c>
      <c r="AA41" s="66">
        <v>306.45</v>
      </c>
      <c r="AB41" s="66">
        <v>408</v>
      </c>
      <c r="AC41" s="66">
        <v>400</v>
      </c>
      <c r="AD41" s="66">
        <v>400</v>
      </c>
      <c r="AE41" s="66">
        <v>350</v>
      </c>
      <c r="AF41" s="66">
        <v>350</v>
      </c>
      <c r="AG41" s="66">
        <v>350</v>
      </c>
      <c r="AH41" s="66">
        <v>385</v>
      </c>
      <c r="AI41" s="66">
        <v>352</v>
      </c>
      <c r="AJ41" s="66">
        <v>3272.73</v>
      </c>
      <c r="AK41" s="66">
        <v>2377.0500000000002</v>
      </c>
      <c r="AL41" s="66">
        <v>3522.73</v>
      </c>
      <c r="AM41" s="66">
        <v>3000</v>
      </c>
      <c r="AN41" s="66">
        <v>2200</v>
      </c>
      <c r="AO41" s="66">
        <v>2100</v>
      </c>
      <c r="AP41" s="66">
        <v>2700</v>
      </c>
      <c r="AQ41" s="66">
        <v>2500</v>
      </c>
      <c r="AR41" s="66">
        <v>2600</v>
      </c>
    </row>
    <row r="42" spans="1:44" ht="14.25" customHeight="1" x14ac:dyDescent="0.25">
      <c r="A42" s="33"/>
      <c r="B42" s="66" t="s">
        <v>26</v>
      </c>
      <c r="C42" s="66">
        <v>160000</v>
      </c>
      <c r="D42" s="66">
        <v>180000</v>
      </c>
      <c r="E42" s="66">
        <v>175000</v>
      </c>
      <c r="F42" s="66">
        <v>150000</v>
      </c>
      <c r="G42" s="66">
        <v>160000</v>
      </c>
      <c r="H42" s="66">
        <v>140000</v>
      </c>
      <c r="I42" s="66">
        <v>145000</v>
      </c>
      <c r="J42" s="66">
        <v>140000</v>
      </c>
      <c r="K42" s="66">
        <v>160000</v>
      </c>
      <c r="L42" s="83">
        <v>68</v>
      </c>
      <c r="M42" s="83">
        <v>63</v>
      </c>
      <c r="N42" s="83">
        <v>50</v>
      </c>
      <c r="O42" s="83">
        <v>30</v>
      </c>
      <c r="P42" s="83">
        <v>30</v>
      </c>
      <c r="Q42" s="83">
        <v>25</v>
      </c>
      <c r="R42" s="83">
        <v>28</v>
      </c>
      <c r="S42" s="83">
        <v>15</v>
      </c>
      <c r="T42" s="83">
        <v>14</v>
      </c>
      <c r="U42" s="83">
        <v>17</v>
      </c>
      <c r="V42" s="83">
        <v>18</v>
      </c>
      <c r="W42" s="83">
        <v>21</v>
      </c>
      <c r="X42" s="66">
        <v>9000</v>
      </c>
      <c r="Y42" s="66">
        <v>5600</v>
      </c>
      <c r="Z42" s="66">
        <v>7000</v>
      </c>
      <c r="AA42" s="66">
        <v>321.43</v>
      </c>
      <c r="AB42" s="66">
        <v>373.33</v>
      </c>
      <c r="AC42" s="66">
        <v>500</v>
      </c>
      <c r="AD42" s="66">
        <v>400</v>
      </c>
      <c r="AE42" s="66">
        <v>350</v>
      </c>
      <c r="AF42" s="66">
        <v>350</v>
      </c>
      <c r="AG42" s="66">
        <v>350</v>
      </c>
      <c r="AH42" s="66">
        <v>360</v>
      </c>
      <c r="AI42" s="66">
        <v>388</v>
      </c>
      <c r="AJ42" s="66">
        <v>2352.94</v>
      </c>
      <c r="AK42" s="66">
        <v>2857.14</v>
      </c>
      <c r="AL42" s="66">
        <v>3500</v>
      </c>
      <c r="AM42" s="66">
        <v>2200</v>
      </c>
      <c r="AN42" s="66">
        <v>2450</v>
      </c>
      <c r="AO42" s="66">
        <v>3300</v>
      </c>
      <c r="AP42" s="66">
        <v>2700</v>
      </c>
      <c r="AQ42" s="66">
        <v>2500</v>
      </c>
      <c r="AR42" s="66">
        <v>2600</v>
      </c>
    </row>
    <row r="43" spans="1:44" ht="14.25" customHeight="1" x14ac:dyDescent="0.25">
      <c r="A43" s="33"/>
      <c r="B43" s="66" t="s">
        <v>27</v>
      </c>
      <c r="C43" s="66">
        <v>205000</v>
      </c>
      <c r="D43" s="66">
        <v>195000</v>
      </c>
      <c r="E43" s="66">
        <v>125000</v>
      </c>
      <c r="F43" s="66">
        <v>150000</v>
      </c>
      <c r="G43" s="66">
        <v>160000</v>
      </c>
      <c r="H43" s="66">
        <v>140000</v>
      </c>
      <c r="I43" s="66">
        <v>125000</v>
      </c>
      <c r="J43" s="66">
        <v>150000</v>
      </c>
      <c r="K43" s="66">
        <v>145000</v>
      </c>
      <c r="L43" s="83">
        <v>62</v>
      </c>
      <c r="M43" s="83">
        <v>51</v>
      </c>
      <c r="N43" s="83">
        <v>35</v>
      </c>
      <c r="O43" s="83">
        <v>30</v>
      </c>
      <c r="P43" s="83">
        <v>30</v>
      </c>
      <c r="Q43" s="83">
        <v>25</v>
      </c>
      <c r="R43" s="83">
        <v>25</v>
      </c>
      <c r="S43" s="83">
        <v>18</v>
      </c>
      <c r="T43" s="83">
        <v>20</v>
      </c>
      <c r="U43" s="83">
        <v>20</v>
      </c>
      <c r="V43" s="83">
        <v>13</v>
      </c>
      <c r="W43" s="83">
        <v>20</v>
      </c>
      <c r="X43" s="66">
        <v>10800</v>
      </c>
      <c r="Y43" s="66">
        <v>9500</v>
      </c>
      <c r="Z43" s="66">
        <v>9000</v>
      </c>
      <c r="AA43" s="66">
        <v>432</v>
      </c>
      <c r="AB43" s="66">
        <v>527.78</v>
      </c>
      <c r="AC43" s="66">
        <v>450</v>
      </c>
      <c r="AD43" s="66">
        <v>400</v>
      </c>
      <c r="AE43" s="66">
        <v>350</v>
      </c>
      <c r="AF43" s="66">
        <v>350</v>
      </c>
      <c r="AG43" s="66">
        <v>385</v>
      </c>
      <c r="AH43" s="66">
        <v>350</v>
      </c>
      <c r="AI43" s="66">
        <v>406</v>
      </c>
      <c r="AJ43" s="66">
        <v>3306.45</v>
      </c>
      <c r="AK43" s="66">
        <v>3823.53</v>
      </c>
      <c r="AL43" s="66">
        <v>3571.43</v>
      </c>
      <c r="AM43" s="66">
        <v>2900</v>
      </c>
      <c r="AN43" s="66">
        <v>3100</v>
      </c>
      <c r="AO43" s="66">
        <v>3100</v>
      </c>
      <c r="AP43" s="66">
        <v>2700</v>
      </c>
      <c r="AQ43" s="66">
        <v>2500</v>
      </c>
      <c r="AR43" s="66">
        <v>2600</v>
      </c>
    </row>
    <row r="44" spans="1:44" ht="14.25" customHeight="1" x14ac:dyDescent="0.25">
      <c r="A44" s="34"/>
      <c r="B44" s="67" t="s">
        <v>28</v>
      </c>
      <c r="C44" s="67">
        <f t="shared" ref="C44:Z44" si="2">SUM(C39:C43)</f>
        <v>850000</v>
      </c>
      <c r="D44" s="67">
        <f t="shared" si="2"/>
        <v>810000</v>
      </c>
      <c r="E44" s="67">
        <f t="shared" si="2"/>
        <v>795000</v>
      </c>
      <c r="F44" s="67">
        <f t="shared" si="2"/>
        <v>750000</v>
      </c>
      <c r="G44" s="67">
        <f t="shared" si="2"/>
        <v>800000</v>
      </c>
      <c r="H44" s="67">
        <f t="shared" si="2"/>
        <v>700000</v>
      </c>
      <c r="I44" s="67">
        <f t="shared" si="2"/>
        <v>695000</v>
      </c>
      <c r="J44" s="67">
        <f t="shared" si="2"/>
        <v>705000</v>
      </c>
      <c r="K44" s="67">
        <f t="shared" si="2"/>
        <v>690000</v>
      </c>
      <c r="L44" s="84">
        <f t="shared" si="2"/>
        <v>313</v>
      </c>
      <c r="M44" s="84">
        <f t="shared" si="2"/>
        <v>312</v>
      </c>
      <c r="N44" s="84">
        <f t="shared" si="2"/>
        <v>249</v>
      </c>
      <c r="O44" s="84">
        <f t="shared" si="2"/>
        <v>150</v>
      </c>
      <c r="P44" s="84">
        <f t="shared" si="2"/>
        <v>150</v>
      </c>
      <c r="Q44" s="84">
        <f t="shared" si="2"/>
        <v>125</v>
      </c>
      <c r="R44" s="84">
        <f t="shared" si="2"/>
        <v>122</v>
      </c>
      <c r="S44" s="84">
        <f t="shared" si="2"/>
        <v>101</v>
      </c>
      <c r="T44" s="84">
        <f t="shared" si="2"/>
        <v>88</v>
      </c>
      <c r="U44" s="84">
        <f t="shared" si="2"/>
        <v>90</v>
      </c>
      <c r="V44" s="84">
        <f t="shared" si="2"/>
        <v>91</v>
      </c>
      <c r="W44" s="84">
        <f t="shared" si="2"/>
        <v>92</v>
      </c>
      <c r="X44" s="67">
        <f t="shared" si="2"/>
        <v>44100</v>
      </c>
      <c r="Y44" s="67">
        <f t="shared" si="2"/>
        <v>39600</v>
      </c>
      <c r="Z44" s="67">
        <f t="shared" si="2"/>
        <v>35500</v>
      </c>
      <c r="AA44" s="67">
        <f t="shared" ref="AA44:AR44" si="3">AVERAGE(AA39:AA43)</f>
        <v>370.69400000000002</v>
      </c>
      <c r="AB44" s="67">
        <f t="shared" si="3"/>
        <v>406.71</v>
      </c>
      <c r="AC44" s="67">
        <f t="shared" si="3"/>
        <v>417.43199999999996</v>
      </c>
      <c r="AD44" s="67">
        <f t="shared" si="3"/>
        <v>400</v>
      </c>
      <c r="AE44" s="67">
        <f t="shared" si="3"/>
        <v>350</v>
      </c>
      <c r="AF44" s="67">
        <f t="shared" si="3"/>
        <v>350</v>
      </c>
      <c r="AG44" s="67">
        <f t="shared" si="3"/>
        <v>377.4</v>
      </c>
      <c r="AH44" s="67">
        <f t="shared" si="3"/>
        <v>354</v>
      </c>
      <c r="AI44" s="67">
        <f t="shared" si="3"/>
        <v>383.2</v>
      </c>
      <c r="AJ44" s="67">
        <f t="shared" si="3"/>
        <v>2700.2179999999998</v>
      </c>
      <c r="AK44" s="67">
        <f t="shared" si="3"/>
        <v>2659.0340000000006</v>
      </c>
      <c r="AL44" s="67">
        <f t="shared" si="3"/>
        <v>3248.902</v>
      </c>
      <c r="AM44" s="67">
        <f t="shared" si="3"/>
        <v>2480</v>
      </c>
      <c r="AN44" s="67">
        <f t="shared" si="3"/>
        <v>2350</v>
      </c>
      <c r="AO44" s="67">
        <f t="shared" si="3"/>
        <v>2660</v>
      </c>
      <c r="AP44" s="67">
        <f t="shared" si="3"/>
        <v>2700</v>
      </c>
      <c r="AQ44" s="67">
        <f t="shared" si="3"/>
        <v>2500</v>
      </c>
      <c r="AR44" s="67">
        <f t="shared" si="3"/>
        <v>2600</v>
      </c>
    </row>
    <row r="45" spans="1:44" ht="14.25" customHeight="1" x14ac:dyDescent="0.25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</row>
    <row r="46" spans="1:44" ht="14.25" customHeight="1" x14ac:dyDescent="0.25">
      <c r="A46" s="27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</row>
    <row r="47" spans="1:44" ht="14.25" customHeight="1" x14ac:dyDescent="0.3">
      <c r="A47" s="27"/>
      <c r="B47" s="32"/>
      <c r="C47" s="71" t="s">
        <v>41</v>
      </c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  <c r="AM47" s="72"/>
      <c r="AN47" s="72"/>
      <c r="AO47" s="72"/>
      <c r="AP47" s="72"/>
      <c r="AQ47" s="72"/>
      <c r="AR47" s="72"/>
    </row>
    <row r="48" spans="1:44" ht="14.25" customHeight="1" x14ac:dyDescent="0.25">
      <c r="A48" s="27"/>
      <c r="B48" s="70"/>
      <c r="C48" s="69" t="s">
        <v>42</v>
      </c>
      <c r="D48" s="69" t="s">
        <v>43</v>
      </c>
      <c r="E48" s="69" t="s">
        <v>44</v>
      </c>
      <c r="F48" s="69" t="s">
        <v>42</v>
      </c>
      <c r="G48" s="69" t="s">
        <v>43</v>
      </c>
      <c r="H48" s="69" t="s">
        <v>44</v>
      </c>
      <c r="I48" s="69" t="s">
        <v>42</v>
      </c>
      <c r="J48" s="69" t="s">
        <v>43</v>
      </c>
      <c r="K48" s="69" t="s">
        <v>44</v>
      </c>
      <c r="L48" s="82" t="s">
        <v>42</v>
      </c>
      <c r="M48" s="82" t="s">
        <v>43</v>
      </c>
      <c r="N48" s="82" t="s">
        <v>44</v>
      </c>
      <c r="O48" s="82" t="s">
        <v>42</v>
      </c>
      <c r="P48" s="82" t="s">
        <v>43</v>
      </c>
      <c r="Q48" s="82" t="s">
        <v>44</v>
      </c>
      <c r="R48" s="82" t="s">
        <v>42</v>
      </c>
      <c r="S48" s="82" t="s">
        <v>43</v>
      </c>
      <c r="T48" s="82" t="s">
        <v>44</v>
      </c>
      <c r="U48" s="82" t="s">
        <v>42</v>
      </c>
      <c r="V48" s="82" t="s">
        <v>43</v>
      </c>
      <c r="W48" s="82" t="s">
        <v>44</v>
      </c>
      <c r="X48" s="69" t="s">
        <v>42</v>
      </c>
      <c r="Y48" s="69" t="s">
        <v>43</v>
      </c>
      <c r="Z48" s="69" t="s">
        <v>44</v>
      </c>
      <c r="AA48" s="69" t="s">
        <v>42</v>
      </c>
      <c r="AB48" s="69" t="s">
        <v>43</v>
      </c>
      <c r="AC48" s="69" t="s">
        <v>44</v>
      </c>
      <c r="AD48" s="69" t="s">
        <v>42</v>
      </c>
      <c r="AE48" s="69" t="s">
        <v>43</v>
      </c>
      <c r="AF48" s="69" t="s">
        <v>44</v>
      </c>
      <c r="AG48" s="69" t="s">
        <v>42</v>
      </c>
      <c r="AH48" s="69" t="s">
        <v>43</v>
      </c>
      <c r="AI48" s="69" t="s">
        <v>44</v>
      </c>
      <c r="AJ48" s="69" t="s">
        <v>42</v>
      </c>
      <c r="AK48" s="69" t="s">
        <v>43</v>
      </c>
      <c r="AL48" s="69" t="s">
        <v>44</v>
      </c>
      <c r="AM48" s="69" t="s">
        <v>42</v>
      </c>
      <c r="AN48" s="69" t="s">
        <v>43</v>
      </c>
      <c r="AO48" s="69" t="s">
        <v>44</v>
      </c>
      <c r="AP48" s="69" t="s">
        <v>42</v>
      </c>
      <c r="AQ48" s="69" t="s">
        <v>43</v>
      </c>
      <c r="AR48" s="69" t="s">
        <v>44</v>
      </c>
    </row>
    <row r="49" spans="1:44" ht="48" customHeight="1" x14ac:dyDescent="0.25">
      <c r="A49" s="27"/>
      <c r="B49" s="70"/>
      <c r="C49" s="69" t="s">
        <v>9</v>
      </c>
      <c r="D49" s="69" t="s">
        <v>9</v>
      </c>
      <c r="E49" s="69" t="s">
        <v>9</v>
      </c>
      <c r="F49" s="69" t="s">
        <v>10</v>
      </c>
      <c r="G49" s="69" t="s">
        <v>10</v>
      </c>
      <c r="H49" s="69" t="s">
        <v>10</v>
      </c>
      <c r="I49" s="69" t="s">
        <v>11</v>
      </c>
      <c r="J49" s="69" t="s">
        <v>11</v>
      </c>
      <c r="K49" s="69" t="s">
        <v>11</v>
      </c>
      <c r="L49" s="82" t="s">
        <v>12</v>
      </c>
      <c r="M49" s="82" t="s">
        <v>12</v>
      </c>
      <c r="N49" s="82" t="s">
        <v>12</v>
      </c>
      <c r="O49" s="82" t="s">
        <v>13</v>
      </c>
      <c r="P49" s="82" t="s">
        <v>13</v>
      </c>
      <c r="Q49" s="82" t="s">
        <v>13</v>
      </c>
      <c r="R49" s="82" t="s">
        <v>14</v>
      </c>
      <c r="S49" s="82" t="s">
        <v>14</v>
      </c>
      <c r="T49" s="82" t="s">
        <v>14</v>
      </c>
      <c r="U49" s="82" t="s">
        <v>15</v>
      </c>
      <c r="V49" s="82" t="s">
        <v>15</v>
      </c>
      <c r="W49" s="82" t="s">
        <v>15</v>
      </c>
      <c r="X49" s="69" t="s">
        <v>16</v>
      </c>
      <c r="Y49" s="69" t="s">
        <v>16</v>
      </c>
      <c r="Z49" s="69" t="s">
        <v>16</v>
      </c>
      <c r="AA49" s="69" t="s">
        <v>17</v>
      </c>
      <c r="AB49" s="69" t="s">
        <v>17</v>
      </c>
      <c r="AC49" s="69" t="s">
        <v>17</v>
      </c>
      <c r="AD49" s="69" t="s">
        <v>18</v>
      </c>
      <c r="AE49" s="69" t="s">
        <v>18</v>
      </c>
      <c r="AF49" s="69" t="s">
        <v>18</v>
      </c>
      <c r="AG49" s="69" t="s">
        <v>19</v>
      </c>
      <c r="AH49" s="69" t="s">
        <v>19</v>
      </c>
      <c r="AI49" s="69" t="s">
        <v>19</v>
      </c>
      <c r="AJ49" s="69" t="s">
        <v>20</v>
      </c>
      <c r="AK49" s="69" t="s">
        <v>20</v>
      </c>
      <c r="AL49" s="69" t="s">
        <v>20</v>
      </c>
      <c r="AM49" s="69" t="s">
        <v>21</v>
      </c>
      <c r="AN49" s="69" t="s">
        <v>21</v>
      </c>
      <c r="AO49" s="69" t="s">
        <v>21</v>
      </c>
      <c r="AP49" s="69" t="s">
        <v>22</v>
      </c>
      <c r="AQ49" s="69" t="s">
        <v>22</v>
      </c>
      <c r="AR49" s="69" t="s">
        <v>22</v>
      </c>
    </row>
    <row r="50" spans="1:44" ht="14.25" customHeight="1" x14ac:dyDescent="0.25">
      <c r="A50" s="33"/>
      <c r="B50" s="73" t="s">
        <v>23</v>
      </c>
      <c r="C50" s="73">
        <v>150000</v>
      </c>
      <c r="D50" s="73">
        <v>145000</v>
      </c>
      <c r="E50" s="73">
        <v>145000</v>
      </c>
      <c r="F50" s="73">
        <v>160000</v>
      </c>
      <c r="G50" s="73">
        <v>145000</v>
      </c>
      <c r="H50" s="73">
        <v>160000</v>
      </c>
      <c r="I50" s="73">
        <v>160000</v>
      </c>
      <c r="J50" s="73">
        <v>125000</v>
      </c>
      <c r="K50" s="73">
        <v>145000</v>
      </c>
      <c r="L50" s="85">
        <v>55</v>
      </c>
      <c r="M50" s="85">
        <v>55</v>
      </c>
      <c r="N50" s="85">
        <v>60</v>
      </c>
      <c r="O50" s="85">
        <v>20</v>
      </c>
      <c r="P50" s="85">
        <v>25</v>
      </c>
      <c r="Q50" s="85">
        <v>35</v>
      </c>
      <c r="R50" s="85">
        <v>14</v>
      </c>
      <c r="S50" s="85">
        <v>18</v>
      </c>
      <c r="T50" s="85">
        <v>17</v>
      </c>
      <c r="U50" s="85">
        <v>21</v>
      </c>
      <c r="V50" s="85">
        <v>15</v>
      </c>
      <c r="W50" s="85">
        <v>11</v>
      </c>
      <c r="X50" s="73">
        <v>8000</v>
      </c>
      <c r="Y50" s="73">
        <v>6000</v>
      </c>
      <c r="Z50" s="73">
        <v>4000</v>
      </c>
      <c r="AA50" s="73">
        <v>571.42999999999995</v>
      </c>
      <c r="AB50" s="73">
        <v>333.33</v>
      </c>
      <c r="AC50" s="73">
        <v>235.29</v>
      </c>
      <c r="AD50" s="73">
        <v>350</v>
      </c>
      <c r="AE50" s="73">
        <v>450</v>
      </c>
      <c r="AF50" s="73">
        <v>350</v>
      </c>
      <c r="AG50" s="73">
        <v>400</v>
      </c>
      <c r="AH50" s="73">
        <v>385</v>
      </c>
      <c r="AI50" s="73">
        <v>390</v>
      </c>
      <c r="AJ50" s="73">
        <v>2909.09</v>
      </c>
      <c r="AK50" s="73">
        <v>2636.36</v>
      </c>
      <c r="AL50" s="73">
        <v>2416.67</v>
      </c>
      <c r="AM50" s="73">
        <v>2800</v>
      </c>
      <c r="AN50" s="73">
        <v>2500</v>
      </c>
      <c r="AO50" s="73">
        <v>2300</v>
      </c>
      <c r="AP50" s="73">
        <v>2200</v>
      </c>
      <c r="AQ50" s="73">
        <v>2300</v>
      </c>
      <c r="AR50" s="73">
        <v>2500</v>
      </c>
    </row>
    <row r="51" spans="1:44" ht="14.25" customHeight="1" x14ac:dyDescent="0.25">
      <c r="A51" s="33"/>
      <c r="B51" s="66" t="s">
        <v>24</v>
      </c>
      <c r="C51" s="66">
        <v>185000</v>
      </c>
      <c r="D51" s="66">
        <v>150000</v>
      </c>
      <c r="E51" s="66">
        <v>185000</v>
      </c>
      <c r="F51" s="66">
        <v>160000</v>
      </c>
      <c r="G51" s="66">
        <v>145000</v>
      </c>
      <c r="H51" s="66">
        <v>160000</v>
      </c>
      <c r="I51" s="66">
        <v>125000</v>
      </c>
      <c r="J51" s="66">
        <v>130000</v>
      </c>
      <c r="K51" s="66">
        <v>120000</v>
      </c>
      <c r="L51" s="83">
        <v>56</v>
      </c>
      <c r="M51" s="83">
        <v>45</v>
      </c>
      <c r="N51" s="83">
        <v>65</v>
      </c>
      <c r="O51" s="83">
        <v>20</v>
      </c>
      <c r="P51" s="83">
        <v>25</v>
      </c>
      <c r="Q51" s="83">
        <v>35</v>
      </c>
      <c r="R51" s="83">
        <v>15</v>
      </c>
      <c r="S51" s="83">
        <v>25</v>
      </c>
      <c r="T51" s="83">
        <v>25</v>
      </c>
      <c r="U51" s="83">
        <v>14</v>
      </c>
      <c r="V51" s="83">
        <v>22</v>
      </c>
      <c r="W51" s="83">
        <v>12</v>
      </c>
      <c r="X51" s="66">
        <v>5500</v>
      </c>
      <c r="Y51" s="66">
        <v>8500</v>
      </c>
      <c r="Z51" s="66">
        <v>5000</v>
      </c>
      <c r="AA51" s="66">
        <v>366.67</v>
      </c>
      <c r="AB51" s="66">
        <v>340</v>
      </c>
      <c r="AC51" s="66">
        <v>200</v>
      </c>
      <c r="AD51" s="66">
        <v>350</v>
      </c>
      <c r="AE51" s="66">
        <v>450</v>
      </c>
      <c r="AF51" s="66">
        <v>350</v>
      </c>
      <c r="AG51" s="66">
        <v>380</v>
      </c>
      <c r="AH51" s="66">
        <v>400</v>
      </c>
      <c r="AI51" s="66">
        <v>388</v>
      </c>
      <c r="AJ51" s="66">
        <v>3303.57</v>
      </c>
      <c r="AK51" s="66">
        <v>3333.33</v>
      </c>
      <c r="AL51" s="66">
        <v>2846.15</v>
      </c>
      <c r="AM51" s="66">
        <v>2500</v>
      </c>
      <c r="AN51" s="66">
        <v>3000</v>
      </c>
      <c r="AO51" s="66">
        <v>2000</v>
      </c>
      <c r="AP51" s="66">
        <v>2200</v>
      </c>
      <c r="AQ51" s="66">
        <v>2300</v>
      </c>
      <c r="AR51" s="66">
        <v>2500</v>
      </c>
    </row>
    <row r="52" spans="1:44" ht="14.25" customHeight="1" x14ac:dyDescent="0.25">
      <c r="A52" s="33"/>
      <c r="B52" s="66" t="s">
        <v>25</v>
      </c>
      <c r="C52" s="66">
        <v>150000</v>
      </c>
      <c r="D52" s="66">
        <v>125000</v>
      </c>
      <c r="E52" s="66">
        <v>120000</v>
      </c>
      <c r="F52" s="66">
        <v>160000</v>
      </c>
      <c r="G52" s="66">
        <v>145000</v>
      </c>
      <c r="H52" s="66">
        <v>160000</v>
      </c>
      <c r="I52" s="66">
        <v>130000</v>
      </c>
      <c r="J52" s="66">
        <v>150000</v>
      </c>
      <c r="K52" s="66">
        <v>125000</v>
      </c>
      <c r="L52" s="83">
        <v>56</v>
      </c>
      <c r="M52" s="83">
        <v>65</v>
      </c>
      <c r="N52" s="83">
        <v>50</v>
      </c>
      <c r="O52" s="83">
        <v>20</v>
      </c>
      <c r="P52" s="83">
        <v>25</v>
      </c>
      <c r="Q52" s="83">
        <v>35</v>
      </c>
      <c r="R52" s="83">
        <v>22</v>
      </c>
      <c r="S52" s="83">
        <v>17</v>
      </c>
      <c r="T52" s="83">
        <v>17</v>
      </c>
      <c r="U52" s="83">
        <v>25</v>
      </c>
      <c r="V52" s="83">
        <v>17</v>
      </c>
      <c r="W52" s="83">
        <v>21</v>
      </c>
      <c r="X52" s="66">
        <v>9000</v>
      </c>
      <c r="Y52" s="66">
        <v>6500</v>
      </c>
      <c r="Z52" s="66">
        <v>6500</v>
      </c>
      <c r="AA52" s="66">
        <v>409.09</v>
      </c>
      <c r="AB52" s="66">
        <v>382.35</v>
      </c>
      <c r="AC52" s="66">
        <v>382.35</v>
      </c>
      <c r="AD52" s="66">
        <v>350</v>
      </c>
      <c r="AE52" s="66">
        <v>450</v>
      </c>
      <c r="AF52" s="66">
        <v>350</v>
      </c>
      <c r="AG52" s="66">
        <v>365</v>
      </c>
      <c r="AH52" s="66">
        <v>350</v>
      </c>
      <c r="AI52" s="66">
        <v>352</v>
      </c>
      <c r="AJ52" s="66">
        <v>2678.57</v>
      </c>
      <c r="AK52" s="66">
        <v>1923.08</v>
      </c>
      <c r="AL52" s="66">
        <v>2400</v>
      </c>
      <c r="AM52" s="66">
        <v>2600</v>
      </c>
      <c r="AN52" s="66">
        <v>1800</v>
      </c>
      <c r="AO52" s="66">
        <v>2200</v>
      </c>
      <c r="AP52" s="66">
        <v>2200</v>
      </c>
      <c r="AQ52" s="66">
        <v>2300</v>
      </c>
      <c r="AR52" s="66">
        <v>2500</v>
      </c>
    </row>
    <row r="53" spans="1:44" ht="14.25" customHeight="1" x14ac:dyDescent="0.25">
      <c r="A53" s="33"/>
      <c r="B53" s="66" t="s">
        <v>26</v>
      </c>
      <c r="C53" s="66">
        <v>155000</v>
      </c>
      <c r="D53" s="66">
        <v>155000</v>
      </c>
      <c r="E53" s="66">
        <v>155000</v>
      </c>
      <c r="F53" s="66">
        <v>160000</v>
      </c>
      <c r="G53" s="66">
        <v>145000</v>
      </c>
      <c r="H53" s="66">
        <v>160000</v>
      </c>
      <c r="I53" s="66">
        <v>150000</v>
      </c>
      <c r="J53" s="66">
        <v>155000</v>
      </c>
      <c r="K53" s="66">
        <v>160000</v>
      </c>
      <c r="L53" s="83">
        <v>62</v>
      </c>
      <c r="M53" s="83">
        <v>52</v>
      </c>
      <c r="N53" s="83">
        <v>52</v>
      </c>
      <c r="O53" s="83">
        <v>20</v>
      </c>
      <c r="P53" s="83">
        <v>25</v>
      </c>
      <c r="Q53" s="83">
        <v>35</v>
      </c>
      <c r="R53" s="83">
        <v>21</v>
      </c>
      <c r="S53" s="83">
        <v>24</v>
      </c>
      <c r="T53" s="83">
        <v>22</v>
      </c>
      <c r="U53" s="83">
        <v>17</v>
      </c>
      <c r="V53" s="83">
        <v>16</v>
      </c>
      <c r="W53" s="83">
        <v>23</v>
      </c>
      <c r="X53" s="66">
        <v>6200</v>
      </c>
      <c r="Y53" s="66">
        <v>6300</v>
      </c>
      <c r="Z53" s="66">
        <v>9000</v>
      </c>
      <c r="AA53" s="66">
        <v>295.24</v>
      </c>
      <c r="AB53" s="66">
        <v>262.5</v>
      </c>
      <c r="AC53" s="66">
        <v>409.09</v>
      </c>
      <c r="AD53" s="66">
        <v>350</v>
      </c>
      <c r="AE53" s="66">
        <v>450</v>
      </c>
      <c r="AF53" s="66">
        <v>350</v>
      </c>
      <c r="AG53" s="66">
        <v>405</v>
      </c>
      <c r="AH53" s="66">
        <v>370</v>
      </c>
      <c r="AI53" s="66">
        <v>350</v>
      </c>
      <c r="AJ53" s="66">
        <v>2500</v>
      </c>
      <c r="AK53" s="66">
        <v>2980.77</v>
      </c>
      <c r="AL53" s="66">
        <v>2980.77</v>
      </c>
      <c r="AM53" s="66">
        <v>2400</v>
      </c>
      <c r="AN53" s="66">
        <v>2800</v>
      </c>
      <c r="AO53" s="66">
        <v>2890</v>
      </c>
      <c r="AP53" s="66">
        <v>2200</v>
      </c>
      <c r="AQ53" s="66">
        <v>2300</v>
      </c>
      <c r="AR53" s="66">
        <v>2500</v>
      </c>
    </row>
    <row r="54" spans="1:44" ht="14.25" customHeight="1" x14ac:dyDescent="0.25">
      <c r="A54" s="33"/>
      <c r="B54" s="66" t="s">
        <v>27</v>
      </c>
      <c r="C54" s="66">
        <v>140000</v>
      </c>
      <c r="D54" s="66">
        <v>170000</v>
      </c>
      <c r="E54" s="66">
        <v>155000</v>
      </c>
      <c r="F54" s="66">
        <v>160000</v>
      </c>
      <c r="G54" s="66">
        <v>145000</v>
      </c>
      <c r="H54" s="66">
        <v>160000</v>
      </c>
      <c r="I54" s="66">
        <v>150000</v>
      </c>
      <c r="J54" s="66">
        <v>180000</v>
      </c>
      <c r="K54" s="66">
        <v>140000</v>
      </c>
      <c r="L54" s="83">
        <v>65</v>
      </c>
      <c r="M54" s="83">
        <v>50</v>
      </c>
      <c r="N54" s="83">
        <v>70</v>
      </c>
      <c r="O54" s="83">
        <v>20</v>
      </c>
      <c r="P54" s="83">
        <v>25</v>
      </c>
      <c r="Q54" s="83">
        <v>35</v>
      </c>
      <c r="R54" s="83">
        <v>30</v>
      </c>
      <c r="S54" s="83">
        <v>16</v>
      </c>
      <c r="T54" s="83">
        <v>18</v>
      </c>
      <c r="U54" s="83">
        <v>25</v>
      </c>
      <c r="V54" s="83">
        <v>21</v>
      </c>
      <c r="W54" s="83">
        <v>20</v>
      </c>
      <c r="X54" s="66">
        <v>9800</v>
      </c>
      <c r="Y54" s="66">
        <v>8000</v>
      </c>
      <c r="Z54" s="66">
        <v>7500</v>
      </c>
      <c r="AA54" s="66">
        <v>326.67</v>
      </c>
      <c r="AB54" s="66">
        <v>500</v>
      </c>
      <c r="AC54" s="66">
        <v>416.67</v>
      </c>
      <c r="AD54" s="66">
        <v>350</v>
      </c>
      <c r="AE54" s="66">
        <v>450</v>
      </c>
      <c r="AF54" s="66">
        <v>350</v>
      </c>
      <c r="AG54" s="66">
        <v>385</v>
      </c>
      <c r="AH54" s="66">
        <v>350</v>
      </c>
      <c r="AI54" s="66">
        <v>410</v>
      </c>
      <c r="AJ54" s="66">
        <v>2153.85</v>
      </c>
      <c r="AK54" s="66">
        <v>3400</v>
      </c>
      <c r="AL54" s="66">
        <v>2214.29</v>
      </c>
      <c r="AM54" s="66">
        <v>1900</v>
      </c>
      <c r="AN54" s="66">
        <v>3000</v>
      </c>
      <c r="AO54" s="66">
        <v>2100</v>
      </c>
      <c r="AP54" s="66">
        <v>2200</v>
      </c>
      <c r="AQ54" s="66">
        <v>2300</v>
      </c>
      <c r="AR54" s="66">
        <v>2500</v>
      </c>
    </row>
    <row r="55" spans="1:44" ht="14.25" customHeight="1" x14ac:dyDescent="0.25">
      <c r="A55" s="34"/>
      <c r="B55" s="67" t="s">
        <v>28</v>
      </c>
      <c r="C55" s="67">
        <f t="shared" ref="C55:Z55" si="4">SUM(C50:C54)</f>
        <v>780000</v>
      </c>
      <c r="D55" s="67">
        <f t="shared" si="4"/>
        <v>745000</v>
      </c>
      <c r="E55" s="67">
        <f t="shared" si="4"/>
        <v>760000</v>
      </c>
      <c r="F55" s="67">
        <f t="shared" si="4"/>
        <v>800000</v>
      </c>
      <c r="G55" s="67">
        <f t="shared" si="4"/>
        <v>725000</v>
      </c>
      <c r="H55" s="67">
        <f t="shared" si="4"/>
        <v>800000</v>
      </c>
      <c r="I55" s="67">
        <f t="shared" si="4"/>
        <v>715000</v>
      </c>
      <c r="J55" s="67">
        <f t="shared" si="4"/>
        <v>740000</v>
      </c>
      <c r="K55" s="67">
        <f t="shared" si="4"/>
        <v>690000</v>
      </c>
      <c r="L55" s="84">
        <f t="shared" si="4"/>
        <v>294</v>
      </c>
      <c r="M55" s="84">
        <f t="shared" si="4"/>
        <v>267</v>
      </c>
      <c r="N55" s="84">
        <f t="shared" si="4"/>
        <v>297</v>
      </c>
      <c r="O55" s="84">
        <f t="shared" si="4"/>
        <v>100</v>
      </c>
      <c r="P55" s="84">
        <f t="shared" si="4"/>
        <v>125</v>
      </c>
      <c r="Q55" s="84">
        <f t="shared" si="4"/>
        <v>175</v>
      </c>
      <c r="R55" s="84">
        <f t="shared" si="4"/>
        <v>102</v>
      </c>
      <c r="S55" s="84">
        <f t="shared" si="4"/>
        <v>100</v>
      </c>
      <c r="T55" s="84">
        <f t="shared" si="4"/>
        <v>99</v>
      </c>
      <c r="U55" s="84">
        <f t="shared" si="4"/>
        <v>102</v>
      </c>
      <c r="V55" s="84">
        <f t="shared" si="4"/>
        <v>91</v>
      </c>
      <c r="W55" s="84">
        <f t="shared" si="4"/>
        <v>87</v>
      </c>
      <c r="X55" s="67">
        <f t="shared" si="4"/>
        <v>38500</v>
      </c>
      <c r="Y55" s="67">
        <f t="shared" si="4"/>
        <v>35300</v>
      </c>
      <c r="Z55" s="67">
        <f t="shared" si="4"/>
        <v>32000</v>
      </c>
      <c r="AA55" s="67">
        <f t="shared" ref="AA55:AR55" si="5">AVERAGE(AA50:AA54)</f>
        <v>393.82</v>
      </c>
      <c r="AB55" s="67">
        <f t="shared" si="5"/>
        <v>363.63599999999997</v>
      </c>
      <c r="AC55" s="67">
        <f t="shared" si="5"/>
        <v>328.68</v>
      </c>
      <c r="AD55" s="67">
        <f t="shared" si="5"/>
        <v>350</v>
      </c>
      <c r="AE55" s="67">
        <f t="shared" si="5"/>
        <v>450</v>
      </c>
      <c r="AF55" s="67">
        <f t="shared" si="5"/>
        <v>350</v>
      </c>
      <c r="AG55" s="67">
        <f t="shared" si="5"/>
        <v>387</v>
      </c>
      <c r="AH55" s="67">
        <f t="shared" si="5"/>
        <v>371</v>
      </c>
      <c r="AI55" s="67">
        <f t="shared" si="5"/>
        <v>378</v>
      </c>
      <c r="AJ55" s="67">
        <f t="shared" si="5"/>
        <v>2709.0160000000001</v>
      </c>
      <c r="AK55" s="67">
        <f t="shared" si="5"/>
        <v>2854.7080000000001</v>
      </c>
      <c r="AL55" s="67">
        <f t="shared" si="5"/>
        <v>2571.576</v>
      </c>
      <c r="AM55" s="67">
        <f t="shared" si="5"/>
        <v>2440</v>
      </c>
      <c r="AN55" s="67">
        <f t="shared" si="5"/>
        <v>2620</v>
      </c>
      <c r="AO55" s="67">
        <f t="shared" si="5"/>
        <v>2298</v>
      </c>
      <c r="AP55" s="67">
        <f t="shared" si="5"/>
        <v>2200</v>
      </c>
      <c r="AQ55" s="67">
        <f t="shared" si="5"/>
        <v>2300</v>
      </c>
      <c r="AR55" s="67">
        <f t="shared" si="5"/>
        <v>2500</v>
      </c>
    </row>
    <row r="56" spans="1:44" ht="14.25" customHeight="1" x14ac:dyDescent="0.25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</row>
    <row r="57" spans="1:44" ht="14.25" customHeight="1" x14ac:dyDescent="0.25">
      <c r="A57" s="27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</row>
    <row r="58" spans="1:44" ht="14.25" customHeight="1" x14ac:dyDescent="0.3">
      <c r="A58" s="27"/>
      <c r="B58" s="32"/>
      <c r="C58" s="71" t="s">
        <v>45</v>
      </c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  <c r="AA58" s="72"/>
      <c r="AB58" s="72"/>
      <c r="AC58" s="72"/>
      <c r="AD58" s="72"/>
      <c r="AE58" s="72"/>
      <c r="AF58" s="72"/>
      <c r="AG58" s="72"/>
      <c r="AH58" s="72"/>
      <c r="AI58" s="72"/>
      <c r="AJ58" s="72"/>
      <c r="AK58" s="72"/>
      <c r="AL58" s="72"/>
      <c r="AM58" s="72"/>
      <c r="AN58" s="72"/>
      <c r="AO58" s="72"/>
      <c r="AP58" s="72"/>
      <c r="AQ58" s="72"/>
      <c r="AR58" s="72"/>
    </row>
    <row r="59" spans="1:44" ht="14.25" customHeight="1" x14ac:dyDescent="0.25">
      <c r="A59" s="27"/>
      <c r="B59" s="70"/>
      <c r="C59" s="69" t="s">
        <v>6</v>
      </c>
      <c r="D59" s="69" t="s">
        <v>7</v>
      </c>
      <c r="E59" s="69" t="s">
        <v>8</v>
      </c>
      <c r="F59" s="69" t="s">
        <v>6</v>
      </c>
      <c r="G59" s="69" t="s">
        <v>7</v>
      </c>
      <c r="H59" s="69" t="s">
        <v>8</v>
      </c>
      <c r="I59" s="69" t="s">
        <v>6</v>
      </c>
      <c r="J59" s="69" t="s">
        <v>7</v>
      </c>
      <c r="K59" s="69" t="s">
        <v>8</v>
      </c>
      <c r="L59" s="82" t="s">
        <v>6</v>
      </c>
      <c r="M59" s="82" t="s">
        <v>7</v>
      </c>
      <c r="N59" s="82" t="s">
        <v>8</v>
      </c>
      <c r="O59" s="82" t="s">
        <v>6</v>
      </c>
      <c r="P59" s="82" t="s">
        <v>7</v>
      </c>
      <c r="Q59" s="82" t="s">
        <v>8</v>
      </c>
      <c r="R59" s="82" t="s">
        <v>6</v>
      </c>
      <c r="S59" s="82" t="s">
        <v>7</v>
      </c>
      <c r="T59" s="82" t="s">
        <v>8</v>
      </c>
      <c r="U59" s="82" t="s">
        <v>6</v>
      </c>
      <c r="V59" s="82" t="s">
        <v>7</v>
      </c>
      <c r="W59" s="82" t="s">
        <v>8</v>
      </c>
      <c r="X59" s="69" t="s">
        <v>6</v>
      </c>
      <c r="Y59" s="69" t="s">
        <v>7</v>
      </c>
      <c r="Z59" s="69" t="s">
        <v>8</v>
      </c>
      <c r="AA59" s="69" t="s">
        <v>6</v>
      </c>
      <c r="AB59" s="69" t="s">
        <v>7</v>
      </c>
      <c r="AC59" s="69" t="s">
        <v>8</v>
      </c>
      <c r="AD59" s="69" t="s">
        <v>6</v>
      </c>
      <c r="AE59" s="69" t="s">
        <v>7</v>
      </c>
      <c r="AF59" s="69" t="s">
        <v>8</v>
      </c>
      <c r="AG59" s="69" t="s">
        <v>6</v>
      </c>
      <c r="AH59" s="69" t="s">
        <v>7</v>
      </c>
      <c r="AI59" s="69" t="s">
        <v>8</v>
      </c>
      <c r="AJ59" s="69" t="s">
        <v>6</v>
      </c>
      <c r="AK59" s="69" t="s">
        <v>7</v>
      </c>
      <c r="AL59" s="69" t="s">
        <v>8</v>
      </c>
      <c r="AM59" s="69" t="s">
        <v>6</v>
      </c>
      <c r="AN59" s="69" t="s">
        <v>7</v>
      </c>
      <c r="AO59" s="69" t="s">
        <v>8</v>
      </c>
      <c r="AP59" s="69" t="s">
        <v>6</v>
      </c>
      <c r="AQ59" s="69" t="s">
        <v>7</v>
      </c>
      <c r="AR59" s="69" t="s">
        <v>8</v>
      </c>
    </row>
    <row r="60" spans="1:44" ht="50.25" customHeight="1" x14ac:dyDescent="0.25">
      <c r="A60" s="27"/>
      <c r="B60" s="70"/>
      <c r="C60" s="69" t="s">
        <v>9</v>
      </c>
      <c r="D60" s="69" t="s">
        <v>9</v>
      </c>
      <c r="E60" s="69" t="s">
        <v>9</v>
      </c>
      <c r="F60" s="69" t="s">
        <v>10</v>
      </c>
      <c r="G60" s="69" t="s">
        <v>10</v>
      </c>
      <c r="H60" s="69" t="s">
        <v>10</v>
      </c>
      <c r="I60" s="69" t="s">
        <v>11</v>
      </c>
      <c r="J60" s="69" t="s">
        <v>11</v>
      </c>
      <c r="K60" s="69" t="s">
        <v>11</v>
      </c>
      <c r="L60" s="82" t="s">
        <v>12</v>
      </c>
      <c r="M60" s="82" t="s">
        <v>12</v>
      </c>
      <c r="N60" s="82" t="s">
        <v>12</v>
      </c>
      <c r="O60" s="82" t="s">
        <v>13</v>
      </c>
      <c r="P60" s="82" t="s">
        <v>13</v>
      </c>
      <c r="Q60" s="82" t="s">
        <v>13</v>
      </c>
      <c r="R60" s="82" t="s">
        <v>14</v>
      </c>
      <c r="S60" s="82" t="s">
        <v>14</v>
      </c>
      <c r="T60" s="82" t="s">
        <v>14</v>
      </c>
      <c r="U60" s="82" t="s">
        <v>15</v>
      </c>
      <c r="V60" s="82" t="s">
        <v>15</v>
      </c>
      <c r="W60" s="82" t="s">
        <v>15</v>
      </c>
      <c r="X60" s="69" t="s">
        <v>16</v>
      </c>
      <c r="Y60" s="69" t="s">
        <v>16</v>
      </c>
      <c r="Z60" s="69" t="s">
        <v>16</v>
      </c>
      <c r="AA60" s="69" t="s">
        <v>17</v>
      </c>
      <c r="AB60" s="69" t="s">
        <v>17</v>
      </c>
      <c r="AC60" s="69" t="s">
        <v>17</v>
      </c>
      <c r="AD60" s="69" t="s">
        <v>18</v>
      </c>
      <c r="AE60" s="69" t="s">
        <v>18</v>
      </c>
      <c r="AF60" s="69" t="s">
        <v>18</v>
      </c>
      <c r="AG60" s="69" t="s">
        <v>19</v>
      </c>
      <c r="AH60" s="69" t="s">
        <v>19</v>
      </c>
      <c r="AI60" s="69" t="s">
        <v>19</v>
      </c>
      <c r="AJ60" s="69" t="s">
        <v>20</v>
      </c>
      <c r="AK60" s="69" t="s">
        <v>20</v>
      </c>
      <c r="AL60" s="69" t="s">
        <v>20</v>
      </c>
      <c r="AM60" s="69" t="s">
        <v>21</v>
      </c>
      <c r="AN60" s="69" t="s">
        <v>21</v>
      </c>
      <c r="AO60" s="69" t="s">
        <v>21</v>
      </c>
      <c r="AP60" s="69" t="s">
        <v>22</v>
      </c>
      <c r="AQ60" s="69" t="s">
        <v>22</v>
      </c>
      <c r="AR60" s="69" t="s">
        <v>22</v>
      </c>
    </row>
    <row r="61" spans="1:44" ht="14.25" customHeight="1" x14ac:dyDescent="0.25">
      <c r="A61" s="33"/>
      <c r="B61" s="73" t="s">
        <v>23</v>
      </c>
      <c r="C61" s="73">
        <v>145000</v>
      </c>
      <c r="D61" s="73">
        <v>150000</v>
      </c>
      <c r="E61" s="73">
        <v>150000</v>
      </c>
      <c r="F61" s="73">
        <v>165000</v>
      </c>
      <c r="G61" s="73">
        <v>155000</v>
      </c>
      <c r="H61" s="73">
        <v>145000</v>
      </c>
      <c r="I61" s="73">
        <v>155000</v>
      </c>
      <c r="J61" s="73">
        <v>125000</v>
      </c>
      <c r="K61" s="73">
        <v>145000</v>
      </c>
      <c r="L61" s="85">
        <v>75</v>
      </c>
      <c r="M61" s="85">
        <v>76</v>
      </c>
      <c r="N61" s="85">
        <v>80</v>
      </c>
      <c r="O61" s="85">
        <v>20</v>
      </c>
      <c r="P61" s="85">
        <v>20</v>
      </c>
      <c r="Q61" s="85">
        <v>20</v>
      </c>
      <c r="R61" s="85">
        <v>15</v>
      </c>
      <c r="S61" s="85">
        <v>22</v>
      </c>
      <c r="T61" s="85">
        <v>25</v>
      </c>
      <c r="U61" s="85">
        <v>21</v>
      </c>
      <c r="V61" s="85">
        <v>17</v>
      </c>
      <c r="W61" s="85">
        <v>16</v>
      </c>
      <c r="X61" s="73">
        <v>4700</v>
      </c>
      <c r="Y61" s="73">
        <v>7000</v>
      </c>
      <c r="Z61" s="73">
        <v>6000</v>
      </c>
      <c r="AA61" s="73">
        <v>313.33</v>
      </c>
      <c r="AB61" s="73">
        <v>318.18</v>
      </c>
      <c r="AC61" s="73">
        <v>240</v>
      </c>
      <c r="AD61" s="73">
        <v>350</v>
      </c>
      <c r="AE61" s="73">
        <v>350</v>
      </c>
      <c r="AF61" s="73">
        <v>300</v>
      </c>
      <c r="AG61" s="73">
        <v>410</v>
      </c>
      <c r="AH61" s="73">
        <v>385</v>
      </c>
      <c r="AI61" s="73">
        <v>390</v>
      </c>
      <c r="AJ61" s="73">
        <v>1866.67</v>
      </c>
      <c r="AK61" s="73">
        <v>1973.68</v>
      </c>
      <c r="AL61" s="73">
        <v>1875</v>
      </c>
      <c r="AM61" s="73">
        <v>2500</v>
      </c>
      <c r="AN61" s="73">
        <v>2700</v>
      </c>
      <c r="AO61" s="73">
        <v>2400</v>
      </c>
      <c r="AP61" s="73">
        <v>2450</v>
      </c>
      <c r="AQ61" s="73">
        <v>2700</v>
      </c>
      <c r="AR61" s="73">
        <v>2350</v>
      </c>
    </row>
    <row r="62" spans="1:44" ht="14.25" customHeight="1" x14ac:dyDescent="0.25">
      <c r="A62" s="33"/>
      <c r="B62" s="66" t="s">
        <v>24</v>
      </c>
      <c r="C62" s="66">
        <v>115000</v>
      </c>
      <c r="D62" s="66">
        <v>140000</v>
      </c>
      <c r="E62" s="66">
        <v>170000</v>
      </c>
      <c r="F62" s="66">
        <v>165000</v>
      </c>
      <c r="G62" s="66">
        <v>155000</v>
      </c>
      <c r="H62" s="66">
        <v>145000</v>
      </c>
      <c r="I62" s="66">
        <v>140000</v>
      </c>
      <c r="J62" s="66">
        <v>125000</v>
      </c>
      <c r="K62" s="66">
        <v>130000</v>
      </c>
      <c r="L62" s="83">
        <v>65</v>
      </c>
      <c r="M62" s="83">
        <v>85</v>
      </c>
      <c r="N62" s="83">
        <v>70</v>
      </c>
      <c r="O62" s="83">
        <v>20</v>
      </c>
      <c r="P62" s="83">
        <v>20</v>
      </c>
      <c r="Q62" s="83">
        <v>20</v>
      </c>
      <c r="R62" s="83">
        <v>25</v>
      </c>
      <c r="S62" s="83">
        <v>18</v>
      </c>
      <c r="T62" s="83">
        <v>24</v>
      </c>
      <c r="U62" s="83">
        <v>16</v>
      </c>
      <c r="V62" s="83">
        <v>14</v>
      </c>
      <c r="W62" s="83">
        <v>21</v>
      </c>
      <c r="X62" s="66">
        <v>6000</v>
      </c>
      <c r="Y62" s="66">
        <v>5000</v>
      </c>
      <c r="Z62" s="66">
        <v>8500</v>
      </c>
      <c r="AA62" s="66">
        <v>240</v>
      </c>
      <c r="AB62" s="66">
        <v>277.77999999999997</v>
      </c>
      <c r="AC62" s="66">
        <v>354.17</v>
      </c>
      <c r="AD62" s="66">
        <v>350</v>
      </c>
      <c r="AE62" s="66">
        <v>350</v>
      </c>
      <c r="AF62" s="66">
        <v>300</v>
      </c>
      <c r="AG62" s="66">
        <v>408</v>
      </c>
      <c r="AH62" s="66">
        <v>350</v>
      </c>
      <c r="AI62" s="66">
        <v>370</v>
      </c>
      <c r="AJ62" s="66">
        <v>1769.23</v>
      </c>
      <c r="AK62" s="66">
        <v>1647.06</v>
      </c>
      <c r="AL62" s="66">
        <v>2428.5700000000002</v>
      </c>
      <c r="AM62" s="66">
        <v>1800</v>
      </c>
      <c r="AN62" s="66">
        <v>2200</v>
      </c>
      <c r="AO62" s="66">
        <v>2300</v>
      </c>
      <c r="AP62" s="66">
        <v>2450</v>
      </c>
      <c r="AQ62" s="66">
        <v>2700</v>
      </c>
      <c r="AR62" s="66">
        <v>2350</v>
      </c>
    </row>
    <row r="63" spans="1:44" ht="14.25" customHeight="1" x14ac:dyDescent="0.25">
      <c r="A63" s="33"/>
      <c r="B63" s="66" t="s">
        <v>25</v>
      </c>
      <c r="C63" s="66">
        <v>165000</v>
      </c>
      <c r="D63" s="66">
        <v>140000</v>
      </c>
      <c r="E63" s="66">
        <v>145000</v>
      </c>
      <c r="F63" s="66">
        <v>165000</v>
      </c>
      <c r="G63" s="66">
        <v>155000</v>
      </c>
      <c r="H63" s="66">
        <v>145000</v>
      </c>
      <c r="I63" s="66">
        <v>165000</v>
      </c>
      <c r="J63" s="66">
        <v>150000</v>
      </c>
      <c r="K63" s="66">
        <v>155000</v>
      </c>
      <c r="L63" s="83">
        <v>65</v>
      </c>
      <c r="M63" s="83">
        <v>72</v>
      </c>
      <c r="N63" s="83">
        <v>78</v>
      </c>
      <c r="O63" s="83">
        <v>20</v>
      </c>
      <c r="P63" s="83">
        <v>20</v>
      </c>
      <c r="Q63" s="83">
        <v>20</v>
      </c>
      <c r="R63" s="83">
        <v>25</v>
      </c>
      <c r="S63" s="83">
        <v>17</v>
      </c>
      <c r="T63" s="83">
        <v>14</v>
      </c>
      <c r="U63" s="83">
        <v>15</v>
      </c>
      <c r="V63" s="83">
        <v>21</v>
      </c>
      <c r="W63" s="83">
        <v>20</v>
      </c>
      <c r="X63" s="66">
        <v>4000</v>
      </c>
      <c r="Y63" s="66">
        <v>8000</v>
      </c>
      <c r="Z63" s="66">
        <v>8000</v>
      </c>
      <c r="AA63" s="66">
        <v>160</v>
      </c>
      <c r="AB63" s="66">
        <v>470.59</v>
      </c>
      <c r="AC63" s="66">
        <v>571.42999999999995</v>
      </c>
      <c r="AD63" s="66">
        <v>350</v>
      </c>
      <c r="AE63" s="66">
        <v>350</v>
      </c>
      <c r="AF63" s="66">
        <v>300</v>
      </c>
      <c r="AG63" s="66">
        <v>345</v>
      </c>
      <c r="AH63" s="66">
        <v>405</v>
      </c>
      <c r="AI63" s="66">
        <v>352</v>
      </c>
      <c r="AJ63" s="66">
        <v>2538.46</v>
      </c>
      <c r="AK63" s="66">
        <v>1944.44</v>
      </c>
      <c r="AL63" s="66">
        <v>1858.97</v>
      </c>
      <c r="AM63" s="66">
        <v>2500</v>
      </c>
      <c r="AN63" s="66">
        <v>2500</v>
      </c>
      <c r="AO63" s="66">
        <v>2600</v>
      </c>
      <c r="AP63" s="66">
        <v>2450</v>
      </c>
      <c r="AQ63" s="66">
        <v>2700</v>
      </c>
      <c r="AR63" s="66">
        <v>2350</v>
      </c>
    </row>
    <row r="64" spans="1:44" ht="14.25" customHeight="1" x14ac:dyDescent="0.25">
      <c r="A64" s="33"/>
      <c r="B64" s="66" t="s">
        <v>26</v>
      </c>
      <c r="C64" s="66">
        <v>125000</v>
      </c>
      <c r="D64" s="66">
        <v>155000</v>
      </c>
      <c r="E64" s="66">
        <v>155000</v>
      </c>
      <c r="F64" s="66">
        <v>165000</v>
      </c>
      <c r="G64" s="66">
        <v>155000</v>
      </c>
      <c r="H64" s="66">
        <v>145000</v>
      </c>
      <c r="I64" s="66">
        <v>150000</v>
      </c>
      <c r="J64" s="66">
        <v>145000</v>
      </c>
      <c r="K64" s="66">
        <v>125000</v>
      </c>
      <c r="L64" s="83">
        <v>65</v>
      </c>
      <c r="M64" s="83">
        <v>70</v>
      </c>
      <c r="N64" s="83">
        <v>85</v>
      </c>
      <c r="O64" s="83">
        <v>20</v>
      </c>
      <c r="P64" s="83">
        <v>20</v>
      </c>
      <c r="Q64" s="83">
        <v>20</v>
      </c>
      <c r="R64" s="83">
        <v>19</v>
      </c>
      <c r="S64" s="83">
        <v>15</v>
      </c>
      <c r="T64" s="83">
        <v>21</v>
      </c>
      <c r="U64" s="83">
        <v>22</v>
      </c>
      <c r="V64" s="83">
        <v>20</v>
      </c>
      <c r="W64" s="83">
        <v>17</v>
      </c>
      <c r="X64" s="66">
        <v>9000</v>
      </c>
      <c r="Y64" s="66">
        <v>8500</v>
      </c>
      <c r="Z64" s="66">
        <v>7000</v>
      </c>
      <c r="AA64" s="66">
        <v>473.68</v>
      </c>
      <c r="AB64" s="66">
        <v>566.66999999999996</v>
      </c>
      <c r="AC64" s="66">
        <v>333.33</v>
      </c>
      <c r="AD64" s="66">
        <v>350</v>
      </c>
      <c r="AE64" s="66">
        <v>350</v>
      </c>
      <c r="AF64" s="66">
        <v>300</v>
      </c>
      <c r="AG64" s="66">
        <v>350</v>
      </c>
      <c r="AH64" s="66">
        <v>400</v>
      </c>
      <c r="AI64" s="66">
        <v>388</v>
      </c>
      <c r="AJ64" s="66">
        <v>1923.08</v>
      </c>
      <c r="AK64" s="66">
        <v>2214.29</v>
      </c>
      <c r="AL64" s="66">
        <v>1823.53</v>
      </c>
      <c r="AM64" s="66">
        <v>2100</v>
      </c>
      <c r="AN64" s="66">
        <v>2400</v>
      </c>
      <c r="AO64" s="66">
        <v>2400</v>
      </c>
      <c r="AP64" s="66">
        <v>2450</v>
      </c>
      <c r="AQ64" s="66">
        <v>2700</v>
      </c>
      <c r="AR64" s="66">
        <v>2350</v>
      </c>
    </row>
    <row r="65" spans="1:44" ht="14.25" customHeight="1" x14ac:dyDescent="0.25">
      <c r="A65" s="33"/>
      <c r="B65" s="66" t="s">
        <v>27</v>
      </c>
      <c r="C65" s="66">
        <v>150000</v>
      </c>
      <c r="D65" s="66">
        <v>130000</v>
      </c>
      <c r="E65" s="66">
        <v>150000</v>
      </c>
      <c r="F65" s="66">
        <v>165000</v>
      </c>
      <c r="G65" s="66">
        <v>155000</v>
      </c>
      <c r="H65" s="66">
        <v>145000</v>
      </c>
      <c r="I65" s="66">
        <v>170000</v>
      </c>
      <c r="J65" s="66">
        <v>155000</v>
      </c>
      <c r="K65" s="66">
        <v>130000</v>
      </c>
      <c r="L65" s="83">
        <v>75</v>
      </c>
      <c r="M65" s="83">
        <v>63</v>
      </c>
      <c r="N65" s="83">
        <v>80</v>
      </c>
      <c r="O65" s="83">
        <v>20</v>
      </c>
      <c r="P65" s="83">
        <v>20</v>
      </c>
      <c r="Q65" s="83">
        <v>20</v>
      </c>
      <c r="R65" s="83">
        <v>24</v>
      </c>
      <c r="S65" s="83">
        <v>15</v>
      </c>
      <c r="T65" s="83">
        <v>30</v>
      </c>
      <c r="U65" s="83">
        <v>23</v>
      </c>
      <c r="V65" s="83">
        <v>24</v>
      </c>
      <c r="W65" s="83">
        <v>20</v>
      </c>
      <c r="X65" s="66">
        <v>9500</v>
      </c>
      <c r="Y65" s="66">
        <v>9000</v>
      </c>
      <c r="Z65" s="66">
        <v>8000</v>
      </c>
      <c r="AA65" s="66">
        <v>395.83</v>
      </c>
      <c r="AB65" s="66">
        <v>600</v>
      </c>
      <c r="AC65" s="66">
        <v>266.67</v>
      </c>
      <c r="AD65" s="66">
        <v>350</v>
      </c>
      <c r="AE65" s="66">
        <v>350</v>
      </c>
      <c r="AF65" s="66">
        <v>300</v>
      </c>
      <c r="AG65" s="66">
        <v>360</v>
      </c>
      <c r="AH65" s="66">
        <v>350</v>
      </c>
      <c r="AI65" s="66">
        <v>425</v>
      </c>
      <c r="AJ65" s="66">
        <v>2000</v>
      </c>
      <c r="AK65" s="66">
        <v>2063.4899999999998</v>
      </c>
      <c r="AL65" s="66">
        <v>1875</v>
      </c>
      <c r="AM65" s="66">
        <v>2100</v>
      </c>
      <c r="AN65" s="66">
        <v>2800</v>
      </c>
      <c r="AO65" s="66">
        <v>3000</v>
      </c>
      <c r="AP65" s="66">
        <v>2450</v>
      </c>
      <c r="AQ65" s="66">
        <v>2700</v>
      </c>
      <c r="AR65" s="66">
        <v>2350</v>
      </c>
    </row>
    <row r="66" spans="1:44" ht="14.25" customHeight="1" x14ac:dyDescent="0.25">
      <c r="A66" s="34"/>
      <c r="B66" s="67" t="s">
        <v>28</v>
      </c>
      <c r="C66" s="67">
        <f t="shared" ref="C66:Z66" si="6">SUM(C61:C65)</f>
        <v>700000</v>
      </c>
      <c r="D66" s="67">
        <f t="shared" si="6"/>
        <v>715000</v>
      </c>
      <c r="E66" s="67">
        <f t="shared" si="6"/>
        <v>770000</v>
      </c>
      <c r="F66" s="67">
        <f t="shared" si="6"/>
        <v>825000</v>
      </c>
      <c r="G66" s="67">
        <f t="shared" si="6"/>
        <v>775000</v>
      </c>
      <c r="H66" s="67">
        <f t="shared" si="6"/>
        <v>725000</v>
      </c>
      <c r="I66" s="67">
        <f t="shared" si="6"/>
        <v>780000</v>
      </c>
      <c r="J66" s="67">
        <f t="shared" si="6"/>
        <v>700000</v>
      </c>
      <c r="K66" s="67">
        <f t="shared" si="6"/>
        <v>685000</v>
      </c>
      <c r="L66" s="84">
        <f t="shared" si="6"/>
        <v>345</v>
      </c>
      <c r="M66" s="84">
        <f t="shared" si="6"/>
        <v>366</v>
      </c>
      <c r="N66" s="84">
        <f t="shared" si="6"/>
        <v>393</v>
      </c>
      <c r="O66" s="84">
        <f t="shared" si="6"/>
        <v>100</v>
      </c>
      <c r="P66" s="84">
        <f t="shared" si="6"/>
        <v>100</v>
      </c>
      <c r="Q66" s="84">
        <f t="shared" si="6"/>
        <v>100</v>
      </c>
      <c r="R66" s="84">
        <f t="shared" si="6"/>
        <v>108</v>
      </c>
      <c r="S66" s="84">
        <f t="shared" si="6"/>
        <v>87</v>
      </c>
      <c r="T66" s="84">
        <f t="shared" si="6"/>
        <v>114</v>
      </c>
      <c r="U66" s="84">
        <f t="shared" si="6"/>
        <v>97</v>
      </c>
      <c r="V66" s="84">
        <f t="shared" si="6"/>
        <v>96</v>
      </c>
      <c r="W66" s="84">
        <f t="shared" si="6"/>
        <v>94</v>
      </c>
      <c r="X66" s="67">
        <f t="shared" si="6"/>
        <v>33200</v>
      </c>
      <c r="Y66" s="67">
        <f t="shared" si="6"/>
        <v>37500</v>
      </c>
      <c r="Z66" s="67">
        <f t="shared" si="6"/>
        <v>37500</v>
      </c>
      <c r="AA66" s="67">
        <f t="shared" ref="AA66:AR66" si="7">AVERAGE(AA61:AA65)</f>
        <v>316.56799999999998</v>
      </c>
      <c r="AB66" s="67">
        <f t="shared" si="7"/>
        <v>446.64399999999995</v>
      </c>
      <c r="AC66" s="67">
        <f t="shared" si="7"/>
        <v>353.12</v>
      </c>
      <c r="AD66" s="67">
        <f t="shared" si="7"/>
        <v>350</v>
      </c>
      <c r="AE66" s="67">
        <f t="shared" si="7"/>
        <v>350</v>
      </c>
      <c r="AF66" s="67">
        <f t="shared" si="7"/>
        <v>300</v>
      </c>
      <c r="AG66" s="67">
        <f t="shared" si="7"/>
        <v>374.6</v>
      </c>
      <c r="AH66" s="67">
        <f t="shared" si="7"/>
        <v>378</v>
      </c>
      <c r="AI66" s="67">
        <f t="shared" si="7"/>
        <v>385</v>
      </c>
      <c r="AJ66" s="67">
        <f t="shared" si="7"/>
        <v>2019.4880000000001</v>
      </c>
      <c r="AK66" s="67">
        <f t="shared" si="7"/>
        <v>1968.5919999999999</v>
      </c>
      <c r="AL66" s="67">
        <f t="shared" si="7"/>
        <v>1972.2139999999999</v>
      </c>
      <c r="AM66" s="67">
        <f t="shared" si="7"/>
        <v>2200</v>
      </c>
      <c r="AN66" s="67">
        <f t="shared" si="7"/>
        <v>2520</v>
      </c>
      <c r="AO66" s="67">
        <f t="shared" si="7"/>
        <v>2540</v>
      </c>
      <c r="AP66" s="67">
        <f t="shared" si="7"/>
        <v>2450</v>
      </c>
      <c r="AQ66" s="67">
        <f t="shared" si="7"/>
        <v>2700</v>
      </c>
      <c r="AR66" s="67">
        <f t="shared" si="7"/>
        <v>2350</v>
      </c>
    </row>
    <row r="67" spans="1:44" ht="14.25" customHeight="1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</row>
    <row r="68" spans="1:44" ht="14.25" customHeight="1" x14ac:dyDescent="0.25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</row>
    <row r="69" spans="1:44" ht="14.25" customHeight="1" x14ac:dyDescent="0.25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</row>
    <row r="70" spans="1:44" ht="14.25" customHeight="1" x14ac:dyDescent="0.25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</row>
    <row r="71" spans="1:44" ht="14.25" customHeight="1" x14ac:dyDescent="0.25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</row>
    <row r="72" spans="1:44" ht="14.25" customHeight="1" x14ac:dyDescent="0.25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</row>
    <row r="73" spans="1:44" ht="14.25" customHeight="1" x14ac:dyDescent="0.25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</row>
    <row r="74" spans="1:44" ht="14.25" customHeight="1" x14ac:dyDescent="0.25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</row>
    <row r="75" spans="1:44" ht="14.25" customHeight="1" x14ac:dyDescent="0.25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</row>
    <row r="76" spans="1:44" ht="14.25" customHeight="1" x14ac:dyDescent="0.25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</row>
    <row r="77" spans="1:44" ht="14.25" customHeight="1" x14ac:dyDescent="0.25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</row>
    <row r="78" spans="1:44" ht="14.25" customHeight="1" x14ac:dyDescent="0.25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</row>
    <row r="79" spans="1:44" ht="14.25" customHeight="1" x14ac:dyDescent="0.25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</row>
    <row r="80" spans="1:44" ht="14.25" customHeight="1" x14ac:dyDescent="0.25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</row>
    <row r="81" spans="1:44" ht="14.25" customHeight="1" x14ac:dyDescent="0.25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</row>
    <row r="82" spans="1:44" ht="14.25" customHeight="1" x14ac:dyDescent="0.25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</row>
    <row r="83" spans="1:44" ht="14.25" customHeight="1" x14ac:dyDescent="0.25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</row>
    <row r="84" spans="1:44" ht="14.25" customHeight="1" x14ac:dyDescent="0.25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</row>
    <row r="85" spans="1:44" ht="14.25" customHeight="1" x14ac:dyDescent="0.25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</row>
    <row r="86" spans="1:44" ht="14.25" customHeight="1" x14ac:dyDescent="0.25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</row>
    <row r="87" spans="1:44" ht="14.25" customHeight="1" x14ac:dyDescent="0.25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</row>
    <row r="88" spans="1:44" ht="14.25" customHeight="1" x14ac:dyDescent="0.25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</row>
    <row r="89" spans="1:44" ht="14.25" customHeight="1" x14ac:dyDescent="0.25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</row>
    <row r="90" spans="1:44" ht="14.25" customHeight="1" x14ac:dyDescent="0.25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</row>
    <row r="91" spans="1:44" ht="14.25" customHeight="1" x14ac:dyDescent="0.25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</row>
    <row r="92" spans="1:44" ht="14.25" customHeight="1" x14ac:dyDescent="0.25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</row>
    <row r="93" spans="1:44" ht="14.25" customHeight="1" x14ac:dyDescent="0.25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</row>
    <row r="94" spans="1:44" ht="14.25" customHeight="1" x14ac:dyDescent="0.25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</row>
    <row r="95" spans="1:44" ht="14.25" customHeight="1" x14ac:dyDescent="0.25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</row>
    <row r="96" spans="1:44" ht="14.25" customHeight="1" x14ac:dyDescent="0.25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</row>
    <row r="97" spans="1:44" ht="14.25" customHeight="1" x14ac:dyDescent="0.25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</row>
    <row r="98" spans="1:44" ht="14.25" customHeight="1" x14ac:dyDescent="0.25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</row>
    <row r="99" spans="1:44" ht="14.25" customHeight="1" x14ac:dyDescent="0.25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</row>
    <row r="100" spans="1:44" ht="14.25" customHeight="1" x14ac:dyDescent="0.25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</row>
    <row r="101" spans="1:44" ht="14.25" customHeight="1" x14ac:dyDescent="0.25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</row>
    <row r="102" spans="1:44" ht="14.25" customHeight="1" x14ac:dyDescent="0.25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</row>
    <row r="103" spans="1:44" ht="14.25" customHeight="1" x14ac:dyDescent="0.25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</row>
    <row r="104" spans="1:44" ht="14.25" customHeight="1" x14ac:dyDescent="0.25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</row>
    <row r="105" spans="1:44" ht="14.25" customHeight="1" x14ac:dyDescent="0.25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</row>
    <row r="106" spans="1:44" ht="14.25" customHeight="1" x14ac:dyDescent="0.25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</row>
    <row r="107" spans="1:44" ht="14.25" customHeight="1" x14ac:dyDescent="0.25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</row>
    <row r="108" spans="1:44" ht="14.25" customHeight="1" x14ac:dyDescent="0.25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74"/>
      <c r="M108" s="74"/>
      <c r="N108" s="74"/>
      <c r="O108" s="74"/>
      <c r="P108" s="74"/>
      <c r="Q108" s="74"/>
      <c r="R108" s="74"/>
      <c r="S108" s="74"/>
      <c r="T108" s="74"/>
      <c r="U108" s="74"/>
      <c r="V108" s="74"/>
      <c r="W108" s="74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  <c r="AJ108" s="27"/>
      <c r="AK108" s="27"/>
      <c r="AL108" s="27"/>
      <c r="AM108" s="27"/>
      <c r="AN108" s="27"/>
      <c r="AO108" s="27"/>
      <c r="AP108" s="27"/>
      <c r="AQ108" s="27"/>
      <c r="AR108" s="27"/>
    </row>
    <row r="109" spans="1:44" ht="14.25" customHeight="1" x14ac:dyDescent="0.25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  <c r="AJ109" s="27"/>
      <c r="AK109" s="27"/>
      <c r="AL109" s="27"/>
      <c r="AM109" s="27"/>
      <c r="AN109" s="27"/>
      <c r="AO109" s="27"/>
      <c r="AP109" s="27"/>
      <c r="AQ109" s="27"/>
      <c r="AR109" s="27"/>
    </row>
    <row r="110" spans="1:44" ht="14.25" customHeight="1" x14ac:dyDescent="0.25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74"/>
      <c r="M110" s="74"/>
      <c r="N110" s="74"/>
      <c r="O110" s="74"/>
      <c r="P110" s="74"/>
      <c r="Q110" s="74"/>
      <c r="R110" s="74"/>
      <c r="S110" s="74"/>
      <c r="T110" s="74"/>
      <c r="U110" s="74"/>
      <c r="V110" s="74"/>
      <c r="W110" s="74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  <c r="AK110" s="27"/>
      <c r="AL110" s="27"/>
      <c r="AM110" s="27"/>
      <c r="AN110" s="27"/>
      <c r="AO110" s="27"/>
      <c r="AP110" s="27"/>
      <c r="AQ110" s="27"/>
      <c r="AR110" s="27"/>
    </row>
    <row r="111" spans="1:44" ht="14.25" customHeight="1" x14ac:dyDescent="0.25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74"/>
      <c r="M111" s="74"/>
      <c r="N111" s="74"/>
      <c r="O111" s="74"/>
      <c r="P111" s="74"/>
      <c r="Q111" s="74"/>
      <c r="R111" s="74"/>
      <c r="S111" s="74"/>
      <c r="T111" s="74"/>
      <c r="U111" s="74"/>
      <c r="V111" s="74"/>
      <c r="W111" s="74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  <c r="AJ111" s="27"/>
      <c r="AK111" s="27"/>
      <c r="AL111" s="27"/>
      <c r="AM111" s="27"/>
      <c r="AN111" s="27"/>
      <c r="AO111" s="27"/>
      <c r="AP111" s="27"/>
      <c r="AQ111" s="27"/>
      <c r="AR111" s="27"/>
    </row>
    <row r="112" spans="1:44" ht="14.25" customHeight="1" x14ac:dyDescent="0.25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74"/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  <c r="AK112" s="27"/>
      <c r="AL112" s="27"/>
      <c r="AM112" s="27"/>
      <c r="AN112" s="27"/>
      <c r="AO112" s="27"/>
      <c r="AP112" s="27"/>
      <c r="AQ112" s="27"/>
      <c r="AR112" s="27"/>
    </row>
    <row r="113" spans="1:44" ht="14.25" customHeight="1" x14ac:dyDescent="0.25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  <c r="AR113" s="27"/>
    </row>
    <row r="114" spans="1:44" ht="14.25" customHeight="1" x14ac:dyDescent="0.25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74"/>
      <c r="M114" s="74"/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  <c r="AQ114" s="27"/>
      <c r="AR114" s="27"/>
    </row>
    <row r="115" spans="1:44" ht="14.25" customHeight="1" x14ac:dyDescent="0.25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74"/>
      <c r="M115" s="74"/>
      <c r="N115" s="74"/>
      <c r="O115" s="74"/>
      <c r="P115" s="74"/>
      <c r="Q115" s="74"/>
      <c r="R115" s="74"/>
      <c r="S115" s="74"/>
      <c r="T115" s="74"/>
      <c r="U115" s="74"/>
      <c r="V115" s="74"/>
      <c r="W115" s="74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  <c r="AK115" s="27"/>
      <c r="AL115" s="27"/>
      <c r="AM115" s="27"/>
      <c r="AN115" s="27"/>
      <c r="AO115" s="27"/>
      <c r="AP115" s="27"/>
      <c r="AQ115" s="27"/>
      <c r="AR115" s="27"/>
    </row>
    <row r="116" spans="1:44" ht="14.25" customHeight="1" x14ac:dyDescent="0.25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74"/>
      <c r="M116" s="74"/>
      <c r="N116" s="74"/>
      <c r="O116" s="74"/>
      <c r="P116" s="74"/>
      <c r="Q116" s="74"/>
      <c r="R116" s="74"/>
      <c r="S116" s="74"/>
      <c r="T116" s="74"/>
      <c r="U116" s="74"/>
      <c r="V116" s="74"/>
      <c r="W116" s="74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  <c r="AK116" s="27"/>
      <c r="AL116" s="27"/>
      <c r="AM116" s="27"/>
      <c r="AN116" s="27"/>
      <c r="AO116" s="27"/>
      <c r="AP116" s="27"/>
      <c r="AQ116" s="27"/>
      <c r="AR116" s="27"/>
    </row>
    <row r="117" spans="1:44" ht="14.25" customHeight="1" x14ac:dyDescent="0.25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74"/>
      <c r="M117" s="74"/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  <c r="AK117" s="27"/>
      <c r="AL117" s="27"/>
      <c r="AM117" s="27"/>
      <c r="AN117" s="27"/>
      <c r="AO117" s="27"/>
      <c r="AP117" s="27"/>
      <c r="AQ117" s="27"/>
      <c r="AR117" s="27"/>
    </row>
    <row r="118" spans="1:44" ht="14.25" customHeight="1" x14ac:dyDescent="0.25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74"/>
      <c r="M118" s="74"/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  <c r="AK118" s="27"/>
      <c r="AL118" s="27"/>
      <c r="AM118" s="27"/>
      <c r="AN118" s="27"/>
      <c r="AO118" s="27"/>
      <c r="AP118" s="27"/>
      <c r="AQ118" s="27"/>
      <c r="AR118" s="27"/>
    </row>
    <row r="119" spans="1:44" ht="14.25" customHeight="1" x14ac:dyDescent="0.25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  <c r="AQ119" s="27"/>
      <c r="AR119" s="27"/>
    </row>
    <row r="120" spans="1:44" ht="14.25" customHeight="1" x14ac:dyDescent="0.25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74"/>
      <c r="M120" s="74"/>
      <c r="N120" s="74"/>
      <c r="O120" s="74"/>
      <c r="P120" s="74"/>
      <c r="Q120" s="74"/>
      <c r="R120" s="74"/>
      <c r="S120" s="74"/>
      <c r="T120" s="74"/>
      <c r="U120" s="74"/>
      <c r="V120" s="74"/>
      <c r="W120" s="74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  <c r="AR120" s="27"/>
    </row>
    <row r="121" spans="1:44" ht="14.25" customHeight="1" x14ac:dyDescent="0.25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74"/>
      <c r="M121" s="74"/>
      <c r="N121" s="74"/>
      <c r="O121" s="74"/>
      <c r="P121" s="74"/>
      <c r="Q121" s="74"/>
      <c r="R121" s="74"/>
      <c r="S121" s="74"/>
      <c r="T121" s="74"/>
      <c r="U121" s="74"/>
      <c r="V121" s="74"/>
      <c r="W121" s="74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27"/>
      <c r="AP121" s="27"/>
      <c r="AQ121" s="27"/>
      <c r="AR121" s="27"/>
    </row>
    <row r="122" spans="1:44" ht="14.25" customHeight="1" x14ac:dyDescent="0.25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  <c r="AR122" s="27"/>
    </row>
    <row r="123" spans="1:44" ht="14.25" customHeight="1" x14ac:dyDescent="0.25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</row>
    <row r="124" spans="1:44" ht="14.25" customHeight="1" x14ac:dyDescent="0.25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74"/>
      <c r="M124" s="74"/>
      <c r="N124" s="74"/>
      <c r="O124" s="74"/>
      <c r="P124" s="74"/>
      <c r="Q124" s="74"/>
      <c r="R124" s="74"/>
      <c r="S124" s="74"/>
      <c r="T124" s="74"/>
      <c r="U124" s="74"/>
      <c r="V124" s="74"/>
      <c r="W124" s="74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/>
      <c r="AO124" s="27"/>
      <c r="AP124" s="27"/>
      <c r="AQ124" s="27"/>
      <c r="AR124" s="27"/>
    </row>
    <row r="125" spans="1:44" ht="14.25" customHeight="1" x14ac:dyDescent="0.25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  <c r="AR125" s="27"/>
    </row>
    <row r="126" spans="1:44" ht="14.25" customHeight="1" x14ac:dyDescent="0.25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</row>
    <row r="127" spans="1:44" ht="14.25" customHeight="1" x14ac:dyDescent="0.25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  <c r="AL127" s="27"/>
      <c r="AM127" s="27"/>
      <c r="AN127" s="27"/>
      <c r="AO127" s="27"/>
      <c r="AP127" s="27"/>
      <c r="AQ127" s="27"/>
      <c r="AR127" s="27"/>
    </row>
    <row r="128" spans="1:44" ht="14.25" customHeight="1" x14ac:dyDescent="0.25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  <c r="AR128" s="27"/>
    </row>
    <row r="129" spans="1:44" ht="14.25" customHeight="1" x14ac:dyDescent="0.25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</row>
    <row r="130" spans="1:44" ht="14.25" customHeight="1" x14ac:dyDescent="0.25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74"/>
      <c r="M130" s="74"/>
      <c r="N130" s="74"/>
      <c r="O130" s="74"/>
      <c r="P130" s="74"/>
      <c r="Q130" s="74"/>
      <c r="R130" s="74"/>
      <c r="S130" s="74"/>
      <c r="T130" s="74"/>
      <c r="U130" s="74"/>
      <c r="V130" s="74"/>
      <c r="W130" s="74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  <c r="AK130" s="27"/>
      <c r="AL130" s="27"/>
      <c r="AM130" s="27"/>
      <c r="AN130" s="27"/>
      <c r="AO130" s="27"/>
      <c r="AP130" s="27"/>
      <c r="AQ130" s="27"/>
      <c r="AR130" s="27"/>
    </row>
    <row r="131" spans="1:44" ht="14.25" customHeight="1" x14ac:dyDescent="0.25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  <c r="AK131" s="27"/>
      <c r="AL131" s="27"/>
      <c r="AM131" s="27"/>
      <c r="AN131" s="27"/>
      <c r="AO131" s="27"/>
      <c r="AP131" s="27"/>
      <c r="AQ131" s="27"/>
      <c r="AR131" s="27"/>
    </row>
    <row r="132" spans="1:44" ht="14.25" customHeight="1" x14ac:dyDescent="0.25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</row>
    <row r="133" spans="1:44" ht="14.25" customHeight="1" x14ac:dyDescent="0.25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  <c r="AK133" s="27"/>
      <c r="AL133" s="27"/>
      <c r="AM133" s="27"/>
      <c r="AN133" s="27"/>
      <c r="AO133" s="27"/>
      <c r="AP133" s="27"/>
      <c r="AQ133" s="27"/>
      <c r="AR133" s="27"/>
    </row>
    <row r="134" spans="1:44" ht="14.25" customHeight="1" x14ac:dyDescent="0.25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  <c r="AM134" s="27"/>
      <c r="AN134" s="27"/>
      <c r="AO134" s="27"/>
      <c r="AP134" s="27"/>
      <c r="AQ134" s="27"/>
      <c r="AR134" s="27"/>
    </row>
    <row r="135" spans="1:44" ht="14.25" customHeight="1" x14ac:dyDescent="0.25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</row>
    <row r="136" spans="1:44" ht="14.25" customHeight="1" x14ac:dyDescent="0.25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74"/>
      <c r="M136" s="74"/>
      <c r="N136" s="74"/>
      <c r="O136" s="74"/>
      <c r="P136" s="74"/>
      <c r="Q136" s="74"/>
      <c r="R136" s="74"/>
      <c r="S136" s="74"/>
      <c r="T136" s="74"/>
      <c r="U136" s="74"/>
      <c r="V136" s="74"/>
      <c r="W136" s="74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  <c r="AM136" s="27"/>
      <c r="AN136" s="27"/>
      <c r="AO136" s="27"/>
      <c r="AP136" s="27"/>
      <c r="AQ136" s="27"/>
      <c r="AR136" s="27"/>
    </row>
    <row r="137" spans="1:44" ht="14.25" customHeight="1" x14ac:dyDescent="0.25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  <c r="AR137" s="27"/>
    </row>
    <row r="138" spans="1:44" ht="14.25" customHeight="1" x14ac:dyDescent="0.25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74"/>
      <c r="M138" s="74"/>
      <c r="N138" s="74"/>
      <c r="O138" s="74"/>
      <c r="P138" s="74"/>
      <c r="Q138" s="74"/>
      <c r="R138" s="74"/>
      <c r="S138" s="74"/>
      <c r="T138" s="74"/>
      <c r="U138" s="74"/>
      <c r="V138" s="74"/>
      <c r="W138" s="74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</row>
    <row r="139" spans="1:44" ht="14.25" customHeight="1" x14ac:dyDescent="0.25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  <c r="AR139" s="27"/>
    </row>
    <row r="140" spans="1:44" ht="14.25" customHeight="1" x14ac:dyDescent="0.25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  <c r="AL140" s="27"/>
      <c r="AM140" s="27"/>
      <c r="AN140" s="27"/>
      <c r="AO140" s="27"/>
      <c r="AP140" s="27"/>
      <c r="AQ140" s="27"/>
      <c r="AR140" s="27"/>
    </row>
    <row r="141" spans="1:44" ht="14.25" customHeight="1" x14ac:dyDescent="0.25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</row>
    <row r="142" spans="1:44" ht="14.25" customHeight="1" x14ac:dyDescent="0.25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74"/>
      <c r="M142" s="74"/>
      <c r="N142" s="74"/>
      <c r="O142" s="74"/>
      <c r="P142" s="74"/>
      <c r="Q142" s="74"/>
      <c r="R142" s="74"/>
      <c r="S142" s="74"/>
      <c r="T142" s="74"/>
      <c r="U142" s="74"/>
      <c r="V142" s="74"/>
      <c r="W142" s="74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  <c r="AR142" s="27"/>
    </row>
    <row r="143" spans="1:44" ht="14.25" customHeight="1" x14ac:dyDescent="0.25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  <c r="AQ143" s="27"/>
      <c r="AR143" s="27"/>
    </row>
    <row r="144" spans="1:44" ht="14.25" customHeight="1" x14ac:dyDescent="0.25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</row>
    <row r="145" spans="1:44" ht="14.25" customHeight="1" x14ac:dyDescent="0.25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74"/>
      <c r="M145" s="74"/>
      <c r="N145" s="74"/>
      <c r="O145" s="74"/>
      <c r="P145" s="74"/>
      <c r="Q145" s="74"/>
      <c r="R145" s="74"/>
      <c r="S145" s="74"/>
      <c r="T145" s="74"/>
      <c r="U145" s="74"/>
      <c r="V145" s="74"/>
      <c r="W145" s="74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  <c r="AK145" s="27"/>
      <c r="AL145" s="27"/>
      <c r="AM145" s="27"/>
      <c r="AN145" s="27"/>
      <c r="AO145" s="27"/>
      <c r="AP145" s="27"/>
      <c r="AQ145" s="27"/>
      <c r="AR145" s="27"/>
    </row>
    <row r="146" spans="1:44" ht="14.25" customHeight="1" x14ac:dyDescent="0.25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  <c r="AK146" s="27"/>
      <c r="AL146" s="27"/>
      <c r="AM146" s="27"/>
      <c r="AN146" s="27"/>
      <c r="AO146" s="27"/>
      <c r="AP146" s="27"/>
      <c r="AQ146" s="27"/>
      <c r="AR146" s="27"/>
    </row>
    <row r="147" spans="1:44" ht="14.25" customHeight="1" x14ac:dyDescent="0.25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74"/>
      <c r="M147" s="74"/>
      <c r="N147" s="74"/>
      <c r="O147" s="74"/>
      <c r="P147" s="74"/>
      <c r="Q147" s="74"/>
      <c r="R147" s="74"/>
      <c r="S147" s="74"/>
      <c r="T147" s="74"/>
      <c r="U147" s="74"/>
      <c r="V147" s="74"/>
      <c r="W147" s="74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</row>
    <row r="148" spans="1:44" ht="14.25" customHeight="1" x14ac:dyDescent="0.25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  <c r="AK148" s="27"/>
      <c r="AL148" s="27"/>
      <c r="AM148" s="27"/>
      <c r="AN148" s="27"/>
      <c r="AO148" s="27"/>
      <c r="AP148" s="27"/>
      <c r="AQ148" s="27"/>
      <c r="AR148" s="27"/>
    </row>
    <row r="149" spans="1:44" ht="14.25" customHeight="1" x14ac:dyDescent="0.25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  <c r="AK149" s="27"/>
      <c r="AL149" s="27"/>
      <c r="AM149" s="27"/>
      <c r="AN149" s="27"/>
      <c r="AO149" s="27"/>
      <c r="AP149" s="27"/>
      <c r="AQ149" s="27"/>
      <c r="AR149" s="27"/>
    </row>
    <row r="150" spans="1:44" ht="14.25" customHeight="1" x14ac:dyDescent="0.25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74"/>
      <c r="M150" s="74"/>
      <c r="N150" s="74"/>
      <c r="O150" s="74"/>
      <c r="P150" s="74"/>
      <c r="Q150" s="74"/>
      <c r="R150" s="74"/>
      <c r="S150" s="74"/>
      <c r="T150" s="74"/>
      <c r="U150" s="74"/>
      <c r="V150" s="74"/>
      <c r="W150" s="74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</row>
    <row r="151" spans="1:44" ht="14.25" customHeight="1" x14ac:dyDescent="0.25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74"/>
      <c r="M151" s="74"/>
      <c r="N151" s="74"/>
      <c r="O151" s="74"/>
      <c r="P151" s="74"/>
      <c r="Q151" s="74"/>
      <c r="R151" s="74"/>
      <c r="S151" s="74"/>
      <c r="T151" s="74"/>
      <c r="U151" s="74"/>
      <c r="V151" s="74"/>
      <c r="W151" s="74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  <c r="AQ151" s="27"/>
      <c r="AR151" s="27"/>
    </row>
    <row r="152" spans="1:44" ht="14.25" customHeight="1" x14ac:dyDescent="0.25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  <c r="AK152" s="27"/>
      <c r="AL152" s="27"/>
      <c r="AM152" s="27"/>
      <c r="AN152" s="27"/>
      <c r="AO152" s="27"/>
      <c r="AP152" s="27"/>
      <c r="AQ152" s="27"/>
      <c r="AR152" s="27"/>
    </row>
    <row r="153" spans="1:44" ht="14.25" customHeight="1" x14ac:dyDescent="0.25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74"/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</row>
    <row r="154" spans="1:44" ht="14.25" customHeight="1" x14ac:dyDescent="0.25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74"/>
      <c r="M154" s="74"/>
      <c r="N154" s="74"/>
      <c r="O154" s="74"/>
      <c r="P154" s="74"/>
      <c r="Q154" s="74"/>
      <c r="R154" s="74"/>
      <c r="S154" s="74"/>
      <c r="T154" s="74"/>
      <c r="U154" s="74"/>
      <c r="V154" s="74"/>
      <c r="W154" s="74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  <c r="AK154" s="27"/>
      <c r="AL154" s="27"/>
      <c r="AM154" s="27"/>
      <c r="AN154" s="27"/>
      <c r="AO154" s="27"/>
      <c r="AP154" s="27"/>
      <c r="AQ154" s="27"/>
      <c r="AR154" s="27"/>
    </row>
    <row r="155" spans="1:44" ht="14.25" customHeight="1" x14ac:dyDescent="0.25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74"/>
      <c r="M155" s="74"/>
      <c r="N155" s="74"/>
      <c r="O155" s="74"/>
      <c r="P155" s="74"/>
      <c r="Q155" s="74"/>
      <c r="R155" s="74"/>
      <c r="S155" s="74"/>
      <c r="T155" s="74"/>
      <c r="U155" s="74"/>
      <c r="V155" s="74"/>
      <c r="W155" s="74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27"/>
      <c r="AR155" s="27"/>
    </row>
    <row r="156" spans="1:44" ht="14.25" customHeight="1" x14ac:dyDescent="0.25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74"/>
      <c r="M156" s="74"/>
      <c r="N156" s="74"/>
      <c r="O156" s="74"/>
      <c r="P156" s="74"/>
      <c r="Q156" s="74"/>
      <c r="R156" s="74"/>
      <c r="S156" s="74"/>
      <c r="T156" s="74"/>
      <c r="U156" s="74"/>
      <c r="V156" s="74"/>
      <c r="W156" s="74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</row>
    <row r="157" spans="1:44" ht="14.25" customHeight="1" x14ac:dyDescent="0.25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  <c r="AK157" s="27"/>
      <c r="AL157" s="27"/>
      <c r="AM157" s="27"/>
      <c r="AN157" s="27"/>
      <c r="AO157" s="27"/>
      <c r="AP157" s="27"/>
      <c r="AQ157" s="27"/>
      <c r="AR157" s="27"/>
    </row>
    <row r="158" spans="1:44" ht="14.25" customHeight="1" x14ac:dyDescent="0.25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74"/>
      <c r="M158" s="74"/>
      <c r="N158" s="74"/>
      <c r="O158" s="74"/>
      <c r="P158" s="74"/>
      <c r="Q158" s="74"/>
      <c r="R158" s="74"/>
      <c r="S158" s="74"/>
      <c r="T158" s="74"/>
      <c r="U158" s="74"/>
      <c r="V158" s="74"/>
      <c r="W158" s="74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  <c r="AK158" s="27"/>
      <c r="AL158" s="27"/>
      <c r="AM158" s="27"/>
      <c r="AN158" s="27"/>
      <c r="AO158" s="27"/>
      <c r="AP158" s="27"/>
      <c r="AQ158" s="27"/>
      <c r="AR158" s="27"/>
    </row>
    <row r="159" spans="1:44" ht="14.25" customHeight="1" x14ac:dyDescent="0.25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74"/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4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</row>
    <row r="160" spans="1:44" ht="14.25" customHeight="1" x14ac:dyDescent="0.25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4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  <c r="AK160" s="27"/>
      <c r="AL160" s="27"/>
      <c r="AM160" s="27"/>
      <c r="AN160" s="27"/>
      <c r="AO160" s="27"/>
      <c r="AP160" s="27"/>
      <c r="AQ160" s="27"/>
      <c r="AR160" s="27"/>
    </row>
    <row r="161" spans="1:44" ht="14.25" customHeight="1" x14ac:dyDescent="0.25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74"/>
      <c r="M161" s="74"/>
      <c r="N161" s="74"/>
      <c r="O161" s="74"/>
      <c r="P161" s="74"/>
      <c r="Q161" s="74"/>
      <c r="R161" s="74"/>
      <c r="S161" s="74"/>
      <c r="T161" s="74"/>
      <c r="U161" s="74"/>
      <c r="V161" s="74"/>
      <c r="W161" s="74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7"/>
      <c r="AN161" s="27"/>
      <c r="AO161" s="27"/>
      <c r="AP161" s="27"/>
      <c r="AQ161" s="27"/>
      <c r="AR161" s="27"/>
    </row>
    <row r="162" spans="1:44" ht="14.25" customHeight="1" x14ac:dyDescent="0.25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74"/>
      <c r="M162" s="74"/>
      <c r="N162" s="74"/>
      <c r="O162" s="74"/>
      <c r="P162" s="74"/>
      <c r="Q162" s="74"/>
      <c r="R162" s="74"/>
      <c r="S162" s="74"/>
      <c r="T162" s="74"/>
      <c r="U162" s="74"/>
      <c r="V162" s="74"/>
      <c r="W162" s="74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</row>
    <row r="163" spans="1:44" ht="14.25" customHeight="1" x14ac:dyDescent="0.25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74"/>
      <c r="M163" s="74"/>
      <c r="N163" s="74"/>
      <c r="O163" s="74"/>
      <c r="P163" s="74"/>
      <c r="Q163" s="74"/>
      <c r="R163" s="74"/>
      <c r="S163" s="74"/>
      <c r="T163" s="74"/>
      <c r="U163" s="74"/>
      <c r="V163" s="74"/>
      <c r="W163" s="74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  <c r="AM163" s="27"/>
      <c r="AN163" s="27"/>
      <c r="AO163" s="27"/>
      <c r="AP163" s="27"/>
      <c r="AQ163" s="27"/>
      <c r="AR163" s="27"/>
    </row>
    <row r="164" spans="1:44" ht="14.25" customHeight="1" x14ac:dyDescent="0.25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74"/>
      <c r="M164" s="74"/>
      <c r="N164" s="74"/>
      <c r="O164" s="74"/>
      <c r="P164" s="74"/>
      <c r="Q164" s="74"/>
      <c r="R164" s="74"/>
      <c r="S164" s="74"/>
      <c r="T164" s="74"/>
      <c r="U164" s="74"/>
      <c r="V164" s="74"/>
      <c r="W164" s="74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  <c r="AK164" s="27"/>
      <c r="AL164" s="27"/>
      <c r="AM164" s="27"/>
      <c r="AN164" s="27"/>
      <c r="AO164" s="27"/>
      <c r="AP164" s="27"/>
      <c r="AQ164" s="27"/>
      <c r="AR164" s="27"/>
    </row>
    <row r="165" spans="1:44" ht="14.25" customHeight="1" x14ac:dyDescent="0.25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74"/>
      <c r="M165" s="74"/>
      <c r="N165" s="74"/>
      <c r="O165" s="74"/>
      <c r="P165" s="74"/>
      <c r="Q165" s="74"/>
      <c r="R165" s="74"/>
      <c r="S165" s="74"/>
      <c r="T165" s="74"/>
      <c r="U165" s="74"/>
      <c r="V165" s="74"/>
      <c r="W165" s="74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</row>
    <row r="166" spans="1:44" ht="14.25" customHeight="1" x14ac:dyDescent="0.25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74"/>
      <c r="M166" s="74"/>
      <c r="N166" s="74"/>
      <c r="O166" s="74"/>
      <c r="P166" s="74"/>
      <c r="Q166" s="74"/>
      <c r="R166" s="74"/>
      <c r="S166" s="74"/>
      <c r="T166" s="74"/>
      <c r="U166" s="74"/>
      <c r="V166" s="74"/>
      <c r="W166" s="74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</row>
    <row r="167" spans="1:44" ht="14.25" customHeight="1" x14ac:dyDescent="0.25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4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  <c r="AK167" s="27"/>
      <c r="AL167" s="27"/>
      <c r="AM167" s="27"/>
      <c r="AN167" s="27"/>
      <c r="AO167" s="27"/>
      <c r="AP167" s="27"/>
      <c r="AQ167" s="27"/>
      <c r="AR167" s="27"/>
    </row>
    <row r="168" spans="1:44" ht="14.25" customHeight="1" x14ac:dyDescent="0.25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74"/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</row>
    <row r="169" spans="1:44" ht="14.25" customHeight="1" x14ac:dyDescent="0.25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74"/>
      <c r="M169" s="74"/>
      <c r="N169" s="74"/>
      <c r="O169" s="74"/>
      <c r="P169" s="74"/>
      <c r="Q169" s="74"/>
      <c r="R169" s="74"/>
      <c r="S169" s="74"/>
      <c r="T169" s="74"/>
      <c r="U169" s="74"/>
      <c r="V169" s="74"/>
      <c r="W169" s="74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  <c r="AK169" s="27"/>
      <c r="AL169" s="27"/>
      <c r="AM169" s="27"/>
      <c r="AN169" s="27"/>
      <c r="AO169" s="27"/>
      <c r="AP169" s="27"/>
      <c r="AQ169" s="27"/>
      <c r="AR169" s="27"/>
    </row>
    <row r="170" spans="1:44" ht="14.25" customHeight="1" x14ac:dyDescent="0.25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4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  <c r="AK170" s="27"/>
      <c r="AL170" s="27"/>
      <c r="AM170" s="27"/>
      <c r="AN170" s="27"/>
      <c r="AO170" s="27"/>
      <c r="AP170" s="27"/>
      <c r="AQ170" s="27"/>
      <c r="AR170" s="27"/>
    </row>
    <row r="171" spans="1:44" ht="14.25" customHeight="1" x14ac:dyDescent="0.25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</row>
    <row r="172" spans="1:44" ht="14.25" customHeight="1" x14ac:dyDescent="0.25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  <c r="AK172" s="27"/>
      <c r="AL172" s="27"/>
      <c r="AM172" s="27"/>
      <c r="AN172" s="27"/>
      <c r="AO172" s="27"/>
      <c r="AP172" s="27"/>
      <c r="AQ172" s="27"/>
      <c r="AR172" s="27"/>
    </row>
    <row r="173" spans="1:44" ht="14.25" customHeight="1" x14ac:dyDescent="0.25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74"/>
      <c r="M173" s="74"/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  <c r="AL173" s="27"/>
      <c r="AM173" s="27"/>
      <c r="AN173" s="27"/>
      <c r="AO173" s="27"/>
      <c r="AP173" s="27"/>
      <c r="AQ173" s="27"/>
      <c r="AR173" s="27"/>
    </row>
    <row r="174" spans="1:44" ht="14.25" customHeight="1" x14ac:dyDescent="0.25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74"/>
      <c r="M174" s="74"/>
      <c r="N174" s="74"/>
      <c r="O174" s="74"/>
      <c r="P174" s="74"/>
      <c r="Q174" s="74"/>
      <c r="R174" s="74"/>
      <c r="S174" s="74"/>
      <c r="T174" s="74"/>
      <c r="U174" s="74"/>
      <c r="V174" s="74"/>
      <c r="W174" s="74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  <c r="AK174" s="27"/>
      <c r="AL174" s="27"/>
      <c r="AM174" s="27"/>
      <c r="AN174" s="27"/>
      <c r="AO174" s="27"/>
      <c r="AP174" s="27"/>
      <c r="AQ174" s="27"/>
      <c r="AR174" s="27"/>
    </row>
    <row r="175" spans="1:44" ht="14.25" customHeight="1" x14ac:dyDescent="0.25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74"/>
      <c r="M175" s="74"/>
      <c r="N175" s="74"/>
      <c r="O175" s="74"/>
      <c r="P175" s="74"/>
      <c r="Q175" s="74"/>
      <c r="R175" s="74"/>
      <c r="S175" s="74"/>
      <c r="T175" s="74"/>
      <c r="U175" s="74"/>
      <c r="V175" s="74"/>
      <c r="W175" s="74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</row>
    <row r="176" spans="1:44" ht="14.25" customHeight="1" x14ac:dyDescent="0.25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74"/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  <c r="AK176" s="27"/>
      <c r="AL176" s="27"/>
      <c r="AM176" s="27"/>
      <c r="AN176" s="27"/>
      <c r="AO176" s="27"/>
      <c r="AP176" s="27"/>
      <c r="AQ176" s="27"/>
      <c r="AR176" s="27"/>
    </row>
    <row r="177" spans="1:44" ht="14.25" customHeight="1" x14ac:dyDescent="0.25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74"/>
      <c r="M177" s="74"/>
      <c r="N177" s="74"/>
      <c r="O177" s="74"/>
      <c r="P177" s="74"/>
      <c r="Q177" s="74"/>
      <c r="R177" s="74"/>
      <c r="S177" s="74"/>
      <c r="T177" s="74"/>
      <c r="U177" s="74"/>
      <c r="V177" s="74"/>
      <c r="W177" s="74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  <c r="AK177" s="27"/>
      <c r="AL177" s="27"/>
      <c r="AM177" s="27"/>
      <c r="AN177" s="27"/>
      <c r="AO177" s="27"/>
      <c r="AP177" s="27"/>
      <c r="AQ177" s="27"/>
      <c r="AR177" s="27"/>
    </row>
    <row r="178" spans="1:44" ht="14.25" customHeight="1" x14ac:dyDescent="0.25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</row>
    <row r="179" spans="1:44" ht="14.25" customHeight="1" x14ac:dyDescent="0.25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  <c r="AK179" s="27"/>
      <c r="AL179" s="27"/>
      <c r="AM179" s="27"/>
      <c r="AN179" s="27"/>
      <c r="AO179" s="27"/>
      <c r="AP179" s="27"/>
      <c r="AQ179" s="27"/>
      <c r="AR179" s="27"/>
    </row>
    <row r="180" spans="1:44" ht="14.25" customHeight="1" x14ac:dyDescent="0.25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74"/>
      <c r="M180" s="74"/>
      <c r="N180" s="74"/>
      <c r="O180" s="74"/>
      <c r="P180" s="74"/>
      <c r="Q180" s="74"/>
      <c r="R180" s="74"/>
      <c r="S180" s="74"/>
      <c r="T180" s="74"/>
      <c r="U180" s="74"/>
      <c r="V180" s="74"/>
      <c r="W180" s="74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  <c r="AK180" s="27"/>
      <c r="AL180" s="27"/>
      <c r="AM180" s="27"/>
      <c r="AN180" s="27"/>
      <c r="AO180" s="27"/>
      <c r="AP180" s="27"/>
      <c r="AQ180" s="27"/>
      <c r="AR180" s="27"/>
    </row>
    <row r="181" spans="1:44" ht="14.25" customHeight="1" x14ac:dyDescent="0.25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74"/>
      <c r="M181" s="74"/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</row>
    <row r="182" spans="1:44" ht="14.25" customHeight="1" x14ac:dyDescent="0.25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  <c r="AK182" s="27"/>
      <c r="AL182" s="27"/>
      <c r="AM182" s="27"/>
      <c r="AN182" s="27"/>
      <c r="AO182" s="27"/>
      <c r="AP182" s="27"/>
      <c r="AQ182" s="27"/>
      <c r="AR182" s="27"/>
    </row>
    <row r="183" spans="1:44" ht="14.25" customHeight="1" x14ac:dyDescent="0.25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74"/>
      <c r="M183" s="74"/>
      <c r="N183" s="74"/>
      <c r="O183" s="74"/>
      <c r="P183" s="74"/>
      <c r="Q183" s="74"/>
      <c r="R183" s="74"/>
      <c r="S183" s="74"/>
      <c r="T183" s="74"/>
      <c r="U183" s="74"/>
      <c r="V183" s="74"/>
      <c r="W183" s="74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  <c r="AM183" s="27"/>
      <c r="AN183" s="27"/>
      <c r="AO183" s="27"/>
      <c r="AP183" s="27"/>
      <c r="AQ183" s="27"/>
      <c r="AR183" s="27"/>
    </row>
    <row r="184" spans="1:44" ht="14.25" customHeight="1" x14ac:dyDescent="0.25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74"/>
      <c r="M184" s="74"/>
      <c r="N184" s="74"/>
      <c r="O184" s="74"/>
      <c r="P184" s="74"/>
      <c r="Q184" s="74"/>
      <c r="R184" s="74"/>
      <c r="S184" s="74"/>
      <c r="T184" s="74"/>
      <c r="U184" s="74"/>
      <c r="V184" s="74"/>
      <c r="W184" s="74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</row>
    <row r="185" spans="1:44" ht="14.25" customHeight="1" x14ac:dyDescent="0.25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74"/>
      <c r="M185" s="74"/>
      <c r="N185" s="74"/>
      <c r="O185" s="74"/>
      <c r="P185" s="74"/>
      <c r="Q185" s="74"/>
      <c r="R185" s="74"/>
      <c r="S185" s="74"/>
      <c r="T185" s="74"/>
      <c r="U185" s="74"/>
      <c r="V185" s="74"/>
      <c r="W185" s="74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  <c r="AK185" s="27"/>
      <c r="AL185" s="27"/>
      <c r="AM185" s="27"/>
      <c r="AN185" s="27"/>
      <c r="AO185" s="27"/>
      <c r="AP185" s="27"/>
      <c r="AQ185" s="27"/>
      <c r="AR185" s="27"/>
    </row>
    <row r="186" spans="1:44" ht="14.25" customHeight="1" x14ac:dyDescent="0.25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74"/>
      <c r="M186" s="74"/>
      <c r="N186" s="74"/>
      <c r="O186" s="74"/>
      <c r="P186" s="74"/>
      <c r="Q186" s="74"/>
      <c r="R186" s="74"/>
      <c r="S186" s="74"/>
      <c r="T186" s="74"/>
      <c r="U186" s="74"/>
      <c r="V186" s="74"/>
      <c r="W186" s="74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  <c r="AK186" s="27"/>
      <c r="AL186" s="27"/>
      <c r="AM186" s="27"/>
      <c r="AN186" s="27"/>
      <c r="AO186" s="27"/>
      <c r="AP186" s="27"/>
      <c r="AQ186" s="27"/>
      <c r="AR186" s="27"/>
    </row>
    <row r="187" spans="1:44" ht="14.25" customHeight="1" x14ac:dyDescent="0.25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74"/>
      <c r="M187" s="74"/>
      <c r="N187" s="74"/>
      <c r="O187" s="74"/>
      <c r="P187" s="74"/>
      <c r="Q187" s="74"/>
      <c r="R187" s="74"/>
      <c r="S187" s="74"/>
      <c r="T187" s="74"/>
      <c r="U187" s="74"/>
      <c r="V187" s="74"/>
      <c r="W187" s="74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</row>
    <row r="188" spans="1:44" ht="14.25" customHeight="1" x14ac:dyDescent="0.25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74"/>
      <c r="M188" s="74"/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  <c r="AL188" s="27"/>
      <c r="AM188" s="27"/>
      <c r="AN188" s="27"/>
      <c r="AO188" s="27"/>
      <c r="AP188" s="27"/>
      <c r="AQ188" s="27"/>
      <c r="AR188" s="27"/>
    </row>
    <row r="189" spans="1:44" ht="14.25" customHeight="1" x14ac:dyDescent="0.25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74"/>
      <c r="M189" s="74"/>
      <c r="N189" s="74"/>
      <c r="O189" s="74"/>
      <c r="P189" s="74"/>
      <c r="Q189" s="74"/>
      <c r="R189" s="74"/>
      <c r="S189" s="74"/>
      <c r="T189" s="74"/>
      <c r="U189" s="74"/>
      <c r="V189" s="74"/>
      <c r="W189" s="74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7"/>
      <c r="AM189" s="27"/>
      <c r="AN189" s="27"/>
      <c r="AO189" s="27"/>
      <c r="AP189" s="27"/>
      <c r="AQ189" s="27"/>
      <c r="AR189" s="27"/>
    </row>
    <row r="190" spans="1:44" ht="14.25" customHeight="1" x14ac:dyDescent="0.25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74"/>
      <c r="M190" s="74"/>
      <c r="N190" s="74"/>
      <c r="O190" s="74"/>
      <c r="P190" s="74"/>
      <c r="Q190" s="74"/>
      <c r="R190" s="74"/>
      <c r="S190" s="74"/>
      <c r="T190" s="74"/>
      <c r="U190" s="74"/>
      <c r="V190" s="74"/>
      <c r="W190" s="74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</row>
    <row r="191" spans="1:44" ht="14.25" customHeight="1" x14ac:dyDescent="0.25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74"/>
      <c r="M191" s="74"/>
      <c r="N191" s="74"/>
      <c r="O191" s="74"/>
      <c r="P191" s="74"/>
      <c r="Q191" s="74"/>
      <c r="R191" s="74"/>
      <c r="S191" s="74"/>
      <c r="T191" s="74"/>
      <c r="U191" s="74"/>
      <c r="V191" s="74"/>
      <c r="W191" s="74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7"/>
      <c r="AM191" s="27"/>
      <c r="AN191" s="27"/>
      <c r="AO191" s="27"/>
      <c r="AP191" s="27"/>
      <c r="AQ191" s="27"/>
      <c r="AR191" s="27"/>
    </row>
    <row r="192" spans="1:44" ht="14.25" customHeight="1" x14ac:dyDescent="0.25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  <c r="AL192" s="27"/>
      <c r="AM192" s="27"/>
      <c r="AN192" s="27"/>
      <c r="AO192" s="27"/>
      <c r="AP192" s="27"/>
      <c r="AQ192" s="27"/>
      <c r="AR192" s="27"/>
    </row>
    <row r="193" spans="1:44" ht="14.25" customHeight="1" x14ac:dyDescent="0.25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</row>
    <row r="194" spans="1:44" ht="14.25" customHeight="1" x14ac:dyDescent="0.25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  <c r="AK194" s="27"/>
      <c r="AL194" s="27"/>
      <c r="AM194" s="27"/>
      <c r="AN194" s="27"/>
      <c r="AO194" s="27"/>
      <c r="AP194" s="27"/>
      <c r="AQ194" s="27"/>
      <c r="AR194" s="27"/>
    </row>
    <row r="195" spans="1:44" ht="14.25" customHeight="1" x14ac:dyDescent="0.25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74"/>
      <c r="M195" s="74"/>
      <c r="N195" s="74"/>
      <c r="O195" s="74"/>
      <c r="P195" s="74"/>
      <c r="Q195" s="74"/>
      <c r="R195" s="74"/>
      <c r="S195" s="74"/>
      <c r="T195" s="74"/>
      <c r="U195" s="74"/>
      <c r="V195" s="74"/>
      <c r="W195" s="74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  <c r="AK195" s="27"/>
      <c r="AL195" s="27"/>
      <c r="AM195" s="27"/>
      <c r="AN195" s="27"/>
      <c r="AO195" s="27"/>
      <c r="AP195" s="27"/>
      <c r="AQ195" s="27"/>
      <c r="AR195" s="27"/>
    </row>
    <row r="196" spans="1:44" ht="14.25" customHeight="1" x14ac:dyDescent="0.25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</row>
    <row r="197" spans="1:44" ht="14.25" customHeight="1" x14ac:dyDescent="0.25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  <c r="AJ197" s="27"/>
      <c r="AK197" s="27"/>
      <c r="AL197" s="27"/>
      <c r="AM197" s="27"/>
      <c r="AN197" s="27"/>
      <c r="AO197" s="27"/>
      <c r="AP197" s="27"/>
      <c r="AQ197" s="27"/>
      <c r="AR197" s="27"/>
    </row>
    <row r="198" spans="1:44" ht="14.25" customHeight="1" x14ac:dyDescent="0.25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  <c r="AJ198" s="27"/>
      <c r="AK198" s="27"/>
      <c r="AL198" s="27"/>
      <c r="AM198" s="27"/>
      <c r="AN198" s="27"/>
      <c r="AO198" s="27"/>
      <c r="AP198" s="27"/>
      <c r="AQ198" s="27"/>
      <c r="AR198" s="27"/>
    </row>
    <row r="199" spans="1:44" ht="14.25" customHeight="1" x14ac:dyDescent="0.25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74"/>
      <c r="M199" s="74"/>
      <c r="N199" s="74"/>
      <c r="O199" s="74"/>
      <c r="P199" s="74"/>
      <c r="Q199" s="74"/>
      <c r="R199" s="74"/>
      <c r="S199" s="74"/>
      <c r="T199" s="74"/>
      <c r="U199" s="74"/>
      <c r="V199" s="74"/>
      <c r="W199" s="74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  <c r="AJ199" s="27"/>
      <c r="AK199" s="27"/>
      <c r="AL199" s="27"/>
      <c r="AM199" s="27"/>
      <c r="AN199" s="27"/>
      <c r="AO199" s="27"/>
      <c r="AP199" s="27"/>
      <c r="AQ199" s="27"/>
      <c r="AR199" s="27"/>
    </row>
    <row r="200" spans="1:44" ht="14.25" customHeight="1" x14ac:dyDescent="0.25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</row>
    <row r="201" spans="1:44" ht="14.25" customHeight="1" x14ac:dyDescent="0.25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74"/>
      <c r="M201" s="74"/>
      <c r="N201" s="74"/>
      <c r="O201" s="74"/>
      <c r="P201" s="74"/>
      <c r="Q201" s="74"/>
      <c r="R201" s="74"/>
      <c r="S201" s="74"/>
      <c r="T201" s="74"/>
      <c r="U201" s="74"/>
      <c r="V201" s="74"/>
      <c r="W201" s="74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  <c r="AJ201" s="27"/>
      <c r="AK201" s="27"/>
      <c r="AL201" s="27"/>
      <c r="AM201" s="27"/>
      <c r="AN201" s="27"/>
      <c r="AO201" s="27"/>
      <c r="AP201" s="27"/>
      <c r="AQ201" s="27"/>
      <c r="AR201" s="27"/>
    </row>
    <row r="202" spans="1:44" ht="14.25" customHeight="1" x14ac:dyDescent="0.25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74"/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  <c r="AJ202" s="27"/>
      <c r="AK202" s="27"/>
      <c r="AL202" s="27"/>
      <c r="AM202" s="27"/>
      <c r="AN202" s="27"/>
      <c r="AO202" s="27"/>
      <c r="AP202" s="27"/>
      <c r="AQ202" s="27"/>
      <c r="AR202" s="27"/>
    </row>
    <row r="203" spans="1:44" ht="14.25" customHeight="1" x14ac:dyDescent="0.25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</row>
    <row r="204" spans="1:44" ht="14.25" customHeight="1" x14ac:dyDescent="0.25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  <c r="AJ204" s="27"/>
      <c r="AK204" s="27"/>
      <c r="AL204" s="27"/>
      <c r="AM204" s="27"/>
      <c r="AN204" s="27"/>
      <c r="AO204" s="27"/>
      <c r="AP204" s="27"/>
      <c r="AQ204" s="27"/>
      <c r="AR204" s="27"/>
    </row>
    <row r="205" spans="1:44" ht="14.25" customHeight="1" x14ac:dyDescent="0.25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74"/>
      <c r="M205" s="74"/>
      <c r="N205" s="74"/>
      <c r="O205" s="74"/>
      <c r="P205" s="74"/>
      <c r="Q205" s="74"/>
      <c r="R205" s="74"/>
      <c r="S205" s="74"/>
      <c r="T205" s="74"/>
      <c r="U205" s="74"/>
      <c r="V205" s="74"/>
      <c r="W205" s="74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  <c r="AJ205" s="27"/>
      <c r="AK205" s="27"/>
      <c r="AL205" s="27"/>
      <c r="AM205" s="27"/>
      <c r="AN205" s="27"/>
      <c r="AO205" s="27"/>
      <c r="AP205" s="27"/>
      <c r="AQ205" s="27"/>
      <c r="AR205" s="27"/>
    </row>
    <row r="206" spans="1:44" ht="14.25" customHeight="1" x14ac:dyDescent="0.25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74"/>
      <c r="M206" s="74"/>
      <c r="N206" s="74"/>
      <c r="O206" s="74"/>
      <c r="P206" s="74"/>
      <c r="Q206" s="74"/>
      <c r="R206" s="74"/>
      <c r="S206" s="74"/>
      <c r="T206" s="74"/>
      <c r="U206" s="74"/>
      <c r="V206" s="74"/>
      <c r="W206" s="74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</row>
    <row r="207" spans="1:44" ht="14.25" customHeight="1" x14ac:dyDescent="0.25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74"/>
      <c r="M207" s="74"/>
      <c r="N207" s="74"/>
      <c r="O207" s="74"/>
      <c r="P207" s="74"/>
      <c r="Q207" s="74"/>
      <c r="R207" s="74"/>
      <c r="S207" s="74"/>
      <c r="T207" s="74"/>
      <c r="U207" s="74"/>
      <c r="V207" s="74"/>
      <c r="W207" s="74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  <c r="AJ207" s="27"/>
      <c r="AK207" s="27"/>
      <c r="AL207" s="27"/>
      <c r="AM207" s="27"/>
      <c r="AN207" s="27"/>
      <c r="AO207" s="27"/>
      <c r="AP207" s="27"/>
      <c r="AQ207" s="27"/>
      <c r="AR207" s="27"/>
    </row>
    <row r="208" spans="1:44" ht="14.25" customHeight="1" x14ac:dyDescent="0.25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74"/>
      <c r="M208" s="74"/>
      <c r="N208" s="74"/>
      <c r="O208" s="74"/>
      <c r="P208" s="74"/>
      <c r="Q208" s="74"/>
      <c r="R208" s="74"/>
      <c r="S208" s="74"/>
      <c r="T208" s="74"/>
      <c r="U208" s="74"/>
      <c r="V208" s="74"/>
      <c r="W208" s="74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  <c r="AJ208" s="27"/>
      <c r="AK208" s="27"/>
      <c r="AL208" s="27"/>
      <c r="AM208" s="27"/>
      <c r="AN208" s="27"/>
      <c r="AO208" s="27"/>
      <c r="AP208" s="27"/>
      <c r="AQ208" s="27"/>
      <c r="AR208" s="27"/>
    </row>
    <row r="209" spans="1:44" ht="14.25" customHeight="1" x14ac:dyDescent="0.25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74"/>
      <c r="M209" s="74"/>
      <c r="N209" s="74"/>
      <c r="O209" s="74"/>
      <c r="P209" s="74"/>
      <c r="Q209" s="74"/>
      <c r="R209" s="74"/>
      <c r="S209" s="74"/>
      <c r="T209" s="74"/>
      <c r="U209" s="74"/>
      <c r="V209" s="74"/>
      <c r="W209" s="74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</row>
    <row r="210" spans="1:44" ht="14.25" customHeight="1" x14ac:dyDescent="0.25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  <c r="AP210" s="27"/>
      <c r="AQ210" s="27"/>
      <c r="AR210" s="27"/>
    </row>
    <row r="211" spans="1:44" ht="14.25" customHeight="1" x14ac:dyDescent="0.25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74"/>
      <c r="M211" s="74"/>
      <c r="N211" s="74"/>
      <c r="O211" s="74"/>
      <c r="P211" s="74"/>
      <c r="Q211" s="74"/>
      <c r="R211" s="74"/>
      <c r="S211" s="74"/>
      <c r="T211" s="74"/>
      <c r="U211" s="74"/>
      <c r="V211" s="74"/>
      <c r="W211" s="74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/>
      <c r="AQ211" s="27"/>
      <c r="AR211" s="27"/>
    </row>
    <row r="212" spans="1:44" ht="14.25" customHeight="1" x14ac:dyDescent="0.25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74"/>
      <c r="M212" s="74"/>
      <c r="N212" s="74"/>
      <c r="O212" s="74"/>
      <c r="P212" s="74"/>
      <c r="Q212" s="74"/>
      <c r="R212" s="74"/>
      <c r="S212" s="74"/>
      <c r="T212" s="74"/>
      <c r="U212" s="74"/>
      <c r="V212" s="74"/>
      <c r="W212" s="74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  <c r="AJ212" s="27"/>
      <c r="AK212" s="27"/>
      <c r="AL212" s="27"/>
      <c r="AM212" s="27"/>
      <c r="AN212" s="27"/>
      <c r="AO212" s="27"/>
      <c r="AP212" s="27"/>
      <c r="AQ212" s="27"/>
      <c r="AR212" s="27"/>
    </row>
    <row r="213" spans="1:44" ht="14.25" customHeight="1" x14ac:dyDescent="0.25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74"/>
      <c r="M213" s="74"/>
      <c r="N213" s="74"/>
      <c r="O213" s="74"/>
      <c r="P213" s="74"/>
      <c r="Q213" s="74"/>
      <c r="R213" s="74"/>
      <c r="S213" s="74"/>
      <c r="T213" s="74"/>
      <c r="U213" s="74"/>
      <c r="V213" s="74"/>
      <c r="W213" s="74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</row>
    <row r="214" spans="1:44" ht="14.25" customHeight="1" x14ac:dyDescent="0.25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74"/>
      <c r="M214" s="74"/>
      <c r="N214" s="74"/>
      <c r="O214" s="74"/>
      <c r="P214" s="74"/>
      <c r="Q214" s="74"/>
      <c r="R214" s="74"/>
      <c r="S214" s="74"/>
      <c r="T214" s="74"/>
      <c r="U214" s="74"/>
      <c r="V214" s="74"/>
      <c r="W214" s="74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  <c r="AJ214" s="27"/>
      <c r="AK214" s="27"/>
      <c r="AL214" s="27"/>
      <c r="AM214" s="27"/>
      <c r="AN214" s="27"/>
      <c r="AO214" s="27"/>
      <c r="AP214" s="27"/>
      <c r="AQ214" s="27"/>
      <c r="AR214" s="27"/>
    </row>
    <row r="215" spans="1:44" ht="14.25" customHeight="1" x14ac:dyDescent="0.25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74"/>
      <c r="M215" s="74"/>
      <c r="N215" s="74"/>
      <c r="O215" s="74"/>
      <c r="P215" s="74"/>
      <c r="Q215" s="74"/>
      <c r="R215" s="74"/>
      <c r="S215" s="74"/>
      <c r="T215" s="74"/>
      <c r="U215" s="74"/>
      <c r="V215" s="74"/>
      <c r="W215" s="74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  <c r="AJ215" s="27"/>
      <c r="AK215" s="27"/>
      <c r="AL215" s="27"/>
      <c r="AM215" s="27"/>
      <c r="AN215" s="27"/>
      <c r="AO215" s="27"/>
      <c r="AP215" s="27"/>
      <c r="AQ215" s="27"/>
      <c r="AR215" s="27"/>
    </row>
    <row r="216" spans="1:44" ht="14.25" customHeight="1" x14ac:dyDescent="0.25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74"/>
      <c r="M216" s="74"/>
      <c r="N216" s="74"/>
      <c r="O216" s="74"/>
      <c r="P216" s="74"/>
      <c r="Q216" s="74"/>
      <c r="R216" s="74"/>
      <c r="S216" s="74"/>
      <c r="T216" s="74"/>
      <c r="U216" s="74"/>
      <c r="V216" s="74"/>
      <c r="W216" s="74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</row>
    <row r="217" spans="1:44" ht="14.25" customHeight="1" x14ac:dyDescent="0.25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  <c r="AJ217" s="27"/>
      <c r="AK217" s="27"/>
      <c r="AL217" s="27"/>
      <c r="AM217" s="27"/>
      <c r="AN217" s="27"/>
      <c r="AO217" s="27"/>
      <c r="AP217" s="27"/>
      <c r="AQ217" s="27"/>
      <c r="AR217" s="27"/>
    </row>
    <row r="218" spans="1:44" ht="14.25" customHeight="1" x14ac:dyDescent="0.25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74"/>
      <c r="M218" s="74"/>
      <c r="N218" s="74"/>
      <c r="O218" s="74"/>
      <c r="P218" s="74"/>
      <c r="Q218" s="74"/>
      <c r="R218" s="74"/>
      <c r="S218" s="74"/>
      <c r="T218" s="74"/>
      <c r="U218" s="74"/>
      <c r="V218" s="74"/>
      <c r="W218" s="74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7"/>
      <c r="AM218" s="27"/>
      <c r="AN218" s="27"/>
      <c r="AO218" s="27"/>
      <c r="AP218" s="27"/>
      <c r="AQ218" s="27"/>
      <c r="AR218" s="27"/>
    </row>
    <row r="219" spans="1:44" ht="14.25" customHeight="1" x14ac:dyDescent="0.25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74"/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7"/>
      <c r="AM219" s="27"/>
      <c r="AN219" s="27"/>
      <c r="AO219" s="27"/>
      <c r="AP219" s="27"/>
      <c r="AQ219" s="27"/>
      <c r="AR219" s="27"/>
    </row>
    <row r="220" spans="1:44" ht="14.25" customHeight="1" x14ac:dyDescent="0.25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</row>
    <row r="221" spans="1:44" ht="14.25" customHeight="1" x14ac:dyDescent="0.25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74"/>
      <c r="M221" s="74"/>
      <c r="N221" s="74"/>
      <c r="O221" s="74"/>
      <c r="P221" s="74"/>
      <c r="Q221" s="74"/>
      <c r="R221" s="74"/>
      <c r="S221" s="74"/>
      <c r="T221" s="74"/>
      <c r="U221" s="74"/>
      <c r="V221" s="74"/>
      <c r="W221" s="74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  <c r="AP221" s="27"/>
      <c r="AQ221" s="27"/>
      <c r="AR221" s="27"/>
    </row>
    <row r="222" spans="1:44" ht="14.25" customHeight="1" x14ac:dyDescent="0.25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74"/>
      <c r="M222" s="74"/>
      <c r="N222" s="74"/>
      <c r="O222" s="74"/>
      <c r="P222" s="74"/>
      <c r="Q222" s="74"/>
      <c r="R222" s="74"/>
      <c r="S222" s="74"/>
      <c r="T222" s="74"/>
      <c r="U222" s="74"/>
      <c r="V222" s="74"/>
      <c r="W222" s="74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  <c r="AL222" s="27"/>
      <c r="AM222" s="27"/>
      <c r="AN222" s="27"/>
      <c r="AO222" s="27"/>
      <c r="AP222" s="27"/>
      <c r="AQ222" s="27"/>
      <c r="AR222" s="27"/>
    </row>
    <row r="223" spans="1:44" ht="14.25" customHeight="1" x14ac:dyDescent="0.25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74"/>
      <c r="M223" s="74"/>
      <c r="N223" s="74"/>
      <c r="O223" s="74"/>
      <c r="P223" s="74"/>
      <c r="Q223" s="74"/>
      <c r="R223" s="74"/>
      <c r="S223" s="74"/>
      <c r="T223" s="74"/>
      <c r="U223" s="74"/>
      <c r="V223" s="74"/>
      <c r="W223" s="74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</row>
    <row r="224" spans="1:44" ht="14.25" customHeight="1" x14ac:dyDescent="0.25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74"/>
      <c r="M224" s="74"/>
      <c r="N224" s="74"/>
      <c r="O224" s="74"/>
      <c r="P224" s="74"/>
      <c r="Q224" s="74"/>
      <c r="R224" s="74"/>
      <c r="S224" s="74"/>
      <c r="T224" s="74"/>
      <c r="U224" s="74"/>
      <c r="V224" s="74"/>
      <c r="W224" s="74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  <c r="AL224" s="27"/>
      <c r="AM224" s="27"/>
      <c r="AN224" s="27"/>
      <c r="AO224" s="27"/>
      <c r="AP224" s="27"/>
      <c r="AQ224" s="27"/>
      <c r="AR224" s="27"/>
    </row>
    <row r="225" spans="1:44" ht="14.25" customHeight="1" x14ac:dyDescent="0.25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74"/>
      <c r="M225" s="74"/>
      <c r="N225" s="74"/>
      <c r="O225" s="74"/>
      <c r="P225" s="74"/>
      <c r="Q225" s="74"/>
      <c r="R225" s="74"/>
      <c r="S225" s="74"/>
      <c r="T225" s="74"/>
      <c r="U225" s="74"/>
      <c r="V225" s="74"/>
      <c r="W225" s="74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  <c r="AL225" s="27"/>
      <c r="AM225" s="27"/>
      <c r="AN225" s="27"/>
      <c r="AO225" s="27"/>
      <c r="AP225" s="27"/>
      <c r="AQ225" s="27"/>
      <c r="AR225" s="27"/>
    </row>
    <row r="226" spans="1:44" ht="14.25" customHeight="1" x14ac:dyDescent="0.25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74"/>
      <c r="M226" s="74"/>
      <c r="N226" s="74"/>
      <c r="O226" s="74"/>
      <c r="P226" s="74"/>
      <c r="Q226" s="74"/>
      <c r="R226" s="74"/>
      <c r="S226" s="74"/>
      <c r="T226" s="74"/>
      <c r="U226" s="74"/>
      <c r="V226" s="74"/>
      <c r="W226" s="74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  <c r="AL226" s="27"/>
      <c r="AM226" s="27"/>
      <c r="AN226" s="27"/>
      <c r="AO226" s="27"/>
      <c r="AP226" s="27"/>
      <c r="AQ226" s="27"/>
      <c r="AR226" s="27"/>
    </row>
    <row r="227" spans="1:44" ht="14.25" customHeight="1" x14ac:dyDescent="0.25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74"/>
      <c r="M227" s="74"/>
      <c r="N227" s="74"/>
      <c r="O227" s="74"/>
      <c r="P227" s="74"/>
      <c r="Q227" s="74"/>
      <c r="R227" s="74"/>
      <c r="S227" s="74"/>
      <c r="T227" s="74"/>
      <c r="U227" s="74"/>
      <c r="V227" s="74"/>
      <c r="W227" s="74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  <c r="AL227" s="27"/>
      <c r="AM227" s="27"/>
      <c r="AN227" s="27"/>
      <c r="AO227" s="27"/>
      <c r="AP227" s="27"/>
      <c r="AQ227" s="27"/>
      <c r="AR227" s="27"/>
    </row>
    <row r="228" spans="1:44" ht="14.25" customHeight="1" x14ac:dyDescent="0.25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74"/>
      <c r="M228" s="74"/>
      <c r="N228" s="74"/>
      <c r="O228" s="74"/>
      <c r="P228" s="74"/>
      <c r="Q228" s="74"/>
      <c r="R228" s="74"/>
      <c r="S228" s="74"/>
      <c r="T228" s="74"/>
      <c r="U228" s="74"/>
      <c r="V228" s="74"/>
      <c r="W228" s="74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  <c r="AL228" s="27"/>
      <c r="AM228" s="27"/>
      <c r="AN228" s="27"/>
      <c r="AO228" s="27"/>
      <c r="AP228" s="27"/>
      <c r="AQ228" s="27"/>
      <c r="AR228" s="27"/>
    </row>
    <row r="229" spans="1:44" ht="14.25" customHeight="1" x14ac:dyDescent="0.25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74"/>
      <c r="M229" s="74"/>
      <c r="N229" s="74"/>
      <c r="O229" s="74"/>
      <c r="P229" s="74"/>
      <c r="Q229" s="74"/>
      <c r="R229" s="74"/>
      <c r="S229" s="74"/>
      <c r="T229" s="74"/>
      <c r="U229" s="74"/>
      <c r="V229" s="74"/>
      <c r="W229" s="74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  <c r="AL229" s="27"/>
      <c r="AM229" s="27"/>
      <c r="AN229" s="27"/>
      <c r="AO229" s="27"/>
      <c r="AP229" s="27"/>
      <c r="AQ229" s="27"/>
      <c r="AR229" s="27"/>
    </row>
    <row r="230" spans="1:44" ht="14.25" customHeight="1" x14ac:dyDescent="0.25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74"/>
      <c r="M230" s="74"/>
      <c r="N230" s="74"/>
      <c r="O230" s="74"/>
      <c r="P230" s="74"/>
      <c r="Q230" s="74"/>
      <c r="R230" s="74"/>
      <c r="S230" s="74"/>
      <c r="T230" s="74"/>
      <c r="U230" s="74"/>
      <c r="V230" s="74"/>
      <c r="W230" s="74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  <c r="AL230" s="27"/>
      <c r="AM230" s="27"/>
      <c r="AN230" s="27"/>
      <c r="AO230" s="27"/>
      <c r="AP230" s="27"/>
      <c r="AQ230" s="27"/>
      <c r="AR230" s="27"/>
    </row>
    <row r="231" spans="1:44" ht="14.25" customHeight="1" x14ac:dyDescent="0.25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74"/>
      <c r="M231" s="74"/>
      <c r="N231" s="74"/>
      <c r="O231" s="74"/>
      <c r="P231" s="74"/>
      <c r="Q231" s="74"/>
      <c r="R231" s="74"/>
      <c r="S231" s="74"/>
      <c r="T231" s="74"/>
      <c r="U231" s="74"/>
      <c r="V231" s="74"/>
      <c r="W231" s="74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  <c r="AL231" s="27"/>
      <c r="AM231" s="27"/>
      <c r="AN231" s="27"/>
      <c r="AO231" s="27"/>
      <c r="AP231" s="27"/>
      <c r="AQ231" s="27"/>
      <c r="AR231" s="27"/>
    </row>
    <row r="232" spans="1:44" ht="14.25" customHeight="1" x14ac:dyDescent="0.25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74"/>
      <c r="M232" s="74"/>
      <c r="N232" s="74"/>
      <c r="O232" s="74"/>
      <c r="P232" s="74"/>
      <c r="Q232" s="74"/>
      <c r="R232" s="74"/>
      <c r="S232" s="74"/>
      <c r="T232" s="74"/>
      <c r="U232" s="74"/>
      <c r="V232" s="74"/>
      <c r="W232" s="74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  <c r="AN232" s="27"/>
      <c r="AO232" s="27"/>
      <c r="AP232" s="27"/>
      <c r="AQ232" s="27"/>
      <c r="AR232" s="27"/>
    </row>
    <row r="233" spans="1:44" ht="14.25" customHeight="1" x14ac:dyDescent="0.25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74"/>
      <c r="M233" s="74"/>
      <c r="N233" s="74"/>
      <c r="O233" s="74"/>
      <c r="P233" s="74"/>
      <c r="Q233" s="74"/>
      <c r="R233" s="74"/>
      <c r="S233" s="74"/>
      <c r="T233" s="74"/>
      <c r="U233" s="74"/>
      <c r="V233" s="74"/>
      <c r="W233" s="74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  <c r="AL233" s="27"/>
      <c r="AM233" s="27"/>
      <c r="AN233" s="27"/>
      <c r="AO233" s="27"/>
      <c r="AP233" s="27"/>
      <c r="AQ233" s="27"/>
      <c r="AR233" s="27"/>
    </row>
    <row r="234" spans="1:44" ht="14.25" customHeight="1" x14ac:dyDescent="0.25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74"/>
      <c r="M234" s="74"/>
      <c r="N234" s="74"/>
      <c r="O234" s="74"/>
      <c r="P234" s="74"/>
      <c r="Q234" s="74"/>
      <c r="R234" s="74"/>
      <c r="S234" s="74"/>
      <c r="T234" s="74"/>
      <c r="U234" s="74"/>
      <c r="V234" s="74"/>
      <c r="W234" s="74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  <c r="AL234" s="27"/>
      <c r="AM234" s="27"/>
      <c r="AN234" s="27"/>
      <c r="AO234" s="27"/>
      <c r="AP234" s="27"/>
      <c r="AQ234" s="27"/>
      <c r="AR234" s="27"/>
    </row>
    <row r="235" spans="1:44" ht="14.25" customHeight="1" x14ac:dyDescent="0.25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74"/>
      <c r="M235" s="74"/>
      <c r="N235" s="74"/>
      <c r="O235" s="74"/>
      <c r="P235" s="74"/>
      <c r="Q235" s="74"/>
      <c r="R235" s="74"/>
      <c r="S235" s="74"/>
      <c r="T235" s="74"/>
      <c r="U235" s="74"/>
      <c r="V235" s="74"/>
      <c r="W235" s="74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  <c r="AL235" s="27"/>
      <c r="AM235" s="27"/>
      <c r="AN235" s="27"/>
      <c r="AO235" s="27"/>
      <c r="AP235" s="27"/>
      <c r="AQ235" s="27"/>
      <c r="AR235" s="27"/>
    </row>
    <row r="236" spans="1:44" ht="14.25" customHeight="1" x14ac:dyDescent="0.25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74"/>
      <c r="M236" s="74"/>
      <c r="N236" s="74"/>
      <c r="O236" s="74"/>
      <c r="P236" s="74"/>
      <c r="Q236" s="74"/>
      <c r="R236" s="74"/>
      <c r="S236" s="74"/>
      <c r="T236" s="74"/>
      <c r="U236" s="74"/>
      <c r="V236" s="74"/>
      <c r="W236" s="74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  <c r="AL236" s="27"/>
      <c r="AM236" s="27"/>
      <c r="AN236" s="27"/>
      <c r="AO236" s="27"/>
      <c r="AP236" s="27"/>
      <c r="AQ236" s="27"/>
      <c r="AR236" s="27"/>
    </row>
    <row r="237" spans="1:44" ht="14.25" customHeight="1" x14ac:dyDescent="0.25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74"/>
      <c r="M237" s="74"/>
      <c r="N237" s="74"/>
      <c r="O237" s="74"/>
      <c r="P237" s="74"/>
      <c r="Q237" s="74"/>
      <c r="R237" s="74"/>
      <c r="S237" s="74"/>
      <c r="T237" s="74"/>
      <c r="U237" s="74"/>
      <c r="V237" s="74"/>
      <c r="W237" s="74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  <c r="AL237" s="27"/>
      <c r="AM237" s="27"/>
      <c r="AN237" s="27"/>
      <c r="AO237" s="27"/>
      <c r="AP237" s="27"/>
      <c r="AQ237" s="27"/>
      <c r="AR237" s="27"/>
    </row>
    <row r="238" spans="1:44" ht="14.25" customHeight="1" x14ac:dyDescent="0.25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74"/>
      <c r="M238" s="74"/>
      <c r="N238" s="74"/>
      <c r="O238" s="74"/>
      <c r="P238" s="74"/>
      <c r="Q238" s="74"/>
      <c r="R238" s="74"/>
      <c r="S238" s="74"/>
      <c r="T238" s="74"/>
      <c r="U238" s="74"/>
      <c r="V238" s="74"/>
      <c r="W238" s="74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  <c r="AR238" s="27"/>
    </row>
    <row r="239" spans="1:44" ht="14.25" customHeight="1" x14ac:dyDescent="0.25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74"/>
      <c r="M239" s="74"/>
      <c r="N239" s="74"/>
      <c r="O239" s="74"/>
      <c r="P239" s="74"/>
      <c r="Q239" s="74"/>
      <c r="R239" s="74"/>
      <c r="S239" s="74"/>
      <c r="T239" s="74"/>
      <c r="U239" s="74"/>
      <c r="V239" s="74"/>
      <c r="W239" s="74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  <c r="AR239" s="27"/>
    </row>
    <row r="240" spans="1:44" ht="14.25" customHeight="1" x14ac:dyDescent="0.25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74"/>
      <c r="M240" s="74"/>
      <c r="N240" s="74"/>
      <c r="O240" s="74"/>
      <c r="P240" s="74"/>
      <c r="Q240" s="74"/>
      <c r="R240" s="74"/>
      <c r="S240" s="74"/>
      <c r="T240" s="74"/>
      <c r="U240" s="74"/>
      <c r="V240" s="74"/>
      <c r="W240" s="74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  <c r="AL240" s="27"/>
      <c r="AM240" s="27"/>
      <c r="AN240" s="27"/>
      <c r="AO240" s="27"/>
      <c r="AP240" s="27"/>
      <c r="AQ240" s="27"/>
      <c r="AR240" s="27"/>
    </row>
    <row r="241" spans="1:44" ht="14.25" customHeight="1" x14ac:dyDescent="0.25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74"/>
      <c r="M241" s="74"/>
      <c r="N241" s="74"/>
      <c r="O241" s="74"/>
      <c r="P241" s="74"/>
      <c r="Q241" s="74"/>
      <c r="R241" s="74"/>
      <c r="S241" s="74"/>
      <c r="T241" s="74"/>
      <c r="U241" s="74"/>
      <c r="V241" s="74"/>
      <c r="W241" s="74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  <c r="AP241" s="27"/>
      <c r="AQ241" s="27"/>
      <c r="AR241" s="27"/>
    </row>
    <row r="242" spans="1:44" ht="14.25" customHeight="1" x14ac:dyDescent="0.25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74"/>
      <c r="M242" s="74"/>
      <c r="N242" s="74"/>
      <c r="O242" s="74"/>
      <c r="P242" s="74"/>
      <c r="Q242" s="74"/>
      <c r="R242" s="74"/>
      <c r="S242" s="74"/>
      <c r="T242" s="74"/>
      <c r="U242" s="74"/>
      <c r="V242" s="74"/>
      <c r="W242" s="74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  <c r="AL242" s="27"/>
      <c r="AM242" s="27"/>
      <c r="AN242" s="27"/>
      <c r="AO242" s="27"/>
      <c r="AP242" s="27"/>
      <c r="AQ242" s="27"/>
      <c r="AR242" s="27"/>
    </row>
    <row r="243" spans="1:44" ht="14.25" customHeight="1" x14ac:dyDescent="0.25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74"/>
      <c r="M243" s="74"/>
      <c r="N243" s="74"/>
      <c r="O243" s="74"/>
      <c r="P243" s="74"/>
      <c r="Q243" s="74"/>
      <c r="R243" s="74"/>
      <c r="S243" s="74"/>
      <c r="T243" s="74"/>
      <c r="U243" s="74"/>
      <c r="V243" s="74"/>
      <c r="W243" s="74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  <c r="AL243" s="27"/>
      <c r="AM243" s="27"/>
      <c r="AN243" s="27"/>
      <c r="AO243" s="27"/>
      <c r="AP243" s="27"/>
      <c r="AQ243" s="27"/>
      <c r="AR243" s="27"/>
    </row>
    <row r="244" spans="1:44" ht="14.25" customHeight="1" x14ac:dyDescent="0.25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74"/>
      <c r="M244" s="74"/>
      <c r="N244" s="74"/>
      <c r="O244" s="74"/>
      <c r="P244" s="74"/>
      <c r="Q244" s="74"/>
      <c r="R244" s="74"/>
      <c r="S244" s="74"/>
      <c r="T244" s="74"/>
      <c r="U244" s="74"/>
      <c r="V244" s="74"/>
      <c r="W244" s="74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  <c r="AP244" s="27"/>
      <c r="AQ244" s="27"/>
      <c r="AR244" s="27"/>
    </row>
    <row r="245" spans="1:44" ht="14.25" customHeight="1" x14ac:dyDescent="0.25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74"/>
      <c r="M245" s="74"/>
      <c r="N245" s="74"/>
      <c r="O245" s="74"/>
      <c r="P245" s="74"/>
      <c r="Q245" s="74"/>
      <c r="R245" s="74"/>
      <c r="S245" s="74"/>
      <c r="T245" s="74"/>
      <c r="U245" s="74"/>
      <c r="V245" s="74"/>
      <c r="W245" s="74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  <c r="AL245" s="27"/>
      <c r="AM245" s="27"/>
      <c r="AN245" s="27"/>
      <c r="AO245" s="27"/>
      <c r="AP245" s="27"/>
      <c r="AQ245" s="27"/>
      <c r="AR245" s="27"/>
    </row>
    <row r="246" spans="1:44" ht="14.25" customHeight="1" x14ac:dyDescent="0.25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74"/>
      <c r="M246" s="74"/>
      <c r="N246" s="74"/>
      <c r="O246" s="74"/>
      <c r="P246" s="74"/>
      <c r="Q246" s="74"/>
      <c r="R246" s="74"/>
      <c r="S246" s="74"/>
      <c r="T246" s="74"/>
      <c r="U246" s="74"/>
      <c r="V246" s="74"/>
      <c r="W246" s="74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  <c r="AP246" s="27"/>
      <c r="AQ246" s="27"/>
      <c r="AR246" s="27"/>
    </row>
    <row r="247" spans="1:44" ht="14.25" customHeight="1" x14ac:dyDescent="0.25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74"/>
      <c r="M247" s="74"/>
      <c r="N247" s="74"/>
      <c r="O247" s="74"/>
      <c r="P247" s="74"/>
      <c r="Q247" s="74"/>
      <c r="R247" s="74"/>
      <c r="S247" s="74"/>
      <c r="T247" s="74"/>
      <c r="U247" s="74"/>
      <c r="V247" s="74"/>
      <c r="W247" s="74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  <c r="AP247" s="27"/>
      <c r="AQ247" s="27"/>
      <c r="AR247" s="27"/>
    </row>
    <row r="248" spans="1:44" ht="14.25" customHeight="1" x14ac:dyDescent="0.25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74"/>
      <c r="M248" s="74"/>
      <c r="N248" s="74"/>
      <c r="O248" s="74"/>
      <c r="P248" s="74"/>
      <c r="Q248" s="74"/>
      <c r="R248" s="74"/>
      <c r="S248" s="74"/>
      <c r="T248" s="74"/>
      <c r="U248" s="74"/>
      <c r="V248" s="74"/>
      <c r="W248" s="74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  <c r="AP248" s="27"/>
      <c r="AQ248" s="27"/>
      <c r="AR248" s="27"/>
    </row>
    <row r="249" spans="1:44" ht="14.25" customHeight="1" x14ac:dyDescent="0.25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74"/>
      <c r="M249" s="74"/>
      <c r="N249" s="74"/>
      <c r="O249" s="74"/>
      <c r="P249" s="74"/>
      <c r="Q249" s="74"/>
      <c r="R249" s="74"/>
      <c r="S249" s="74"/>
      <c r="T249" s="74"/>
      <c r="U249" s="74"/>
      <c r="V249" s="74"/>
      <c r="W249" s="74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  <c r="AP249" s="27"/>
      <c r="AQ249" s="27"/>
      <c r="AR249" s="27"/>
    </row>
    <row r="250" spans="1:44" ht="14.25" customHeight="1" x14ac:dyDescent="0.25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74"/>
      <c r="M250" s="74"/>
      <c r="N250" s="74"/>
      <c r="O250" s="74"/>
      <c r="P250" s="74"/>
      <c r="Q250" s="74"/>
      <c r="R250" s="74"/>
      <c r="S250" s="74"/>
      <c r="T250" s="74"/>
      <c r="U250" s="74"/>
      <c r="V250" s="74"/>
      <c r="W250" s="74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  <c r="AP250" s="27"/>
      <c r="AQ250" s="27"/>
      <c r="AR250" s="27"/>
    </row>
    <row r="251" spans="1:44" ht="14.25" customHeight="1" x14ac:dyDescent="0.25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74"/>
      <c r="M251" s="74"/>
      <c r="N251" s="74"/>
      <c r="O251" s="74"/>
      <c r="P251" s="74"/>
      <c r="Q251" s="74"/>
      <c r="R251" s="74"/>
      <c r="S251" s="74"/>
      <c r="T251" s="74"/>
      <c r="U251" s="74"/>
      <c r="V251" s="74"/>
      <c r="W251" s="74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  <c r="AP251" s="27"/>
      <c r="AQ251" s="27"/>
      <c r="AR251" s="27"/>
    </row>
    <row r="252" spans="1:44" ht="14.25" customHeight="1" x14ac:dyDescent="0.25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74"/>
      <c r="M252" s="74"/>
      <c r="N252" s="74"/>
      <c r="O252" s="74"/>
      <c r="P252" s="74"/>
      <c r="Q252" s="74"/>
      <c r="R252" s="74"/>
      <c r="S252" s="74"/>
      <c r="T252" s="74"/>
      <c r="U252" s="74"/>
      <c r="V252" s="74"/>
      <c r="W252" s="74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  <c r="AL252" s="27"/>
      <c r="AM252" s="27"/>
      <c r="AN252" s="27"/>
      <c r="AO252" s="27"/>
      <c r="AP252" s="27"/>
      <c r="AQ252" s="27"/>
      <c r="AR252" s="27"/>
    </row>
    <row r="253" spans="1:44" ht="14.25" customHeight="1" x14ac:dyDescent="0.25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74"/>
      <c r="M253" s="74"/>
      <c r="N253" s="74"/>
      <c r="O253" s="74"/>
      <c r="P253" s="74"/>
      <c r="Q253" s="74"/>
      <c r="R253" s="74"/>
      <c r="S253" s="74"/>
      <c r="T253" s="74"/>
      <c r="U253" s="74"/>
      <c r="V253" s="74"/>
      <c r="W253" s="74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  <c r="AL253" s="27"/>
      <c r="AM253" s="27"/>
      <c r="AN253" s="27"/>
      <c r="AO253" s="27"/>
      <c r="AP253" s="27"/>
      <c r="AQ253" s="27"/>
      <c r="AR253" s="27"/>
    </row>
    <row r="254" spans="1:44" ht="14.25" customHeight="1" x14ac:dyDescent="0.25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74"/>
      <c r="M254" s="74"/>
      <c r="N254" s="74"/>
      <c r="O254" s="74"/>
      <c r="P254" s="74"/>
      <c r="Q254" s="74"/>
      <c r="R254" s="74"/>
      <c r="S254" s="74"/>
      <c r="T254" s="74"/>
      <c r="U254" s="74"/>
      <c r="V254" s="74"/>
      <c r="W254" s="74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  <c r="AP254" s="27"/>
      <c r="AQ254" s="27"/>
      <c r="AR254" s="27"/>
    </row>
    <row r="255" spans="1:44" ht="14.25" customHeight="1" x14ac:dyDescent="0.25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74"/>
      <c r="M255" s="74"/>
      <c r="N255" s="74"/>
      <c r="O255" s="74"/>
      <c r="P255" s="74"/>
      <c r="Q255" s="74"/>
      <c r="R255" s="74"/>
      <c r="S255" s="74"/>
      <c r="T255" s="74"/>
      <c r="U255" s="74"/>
      <c r="V255" s="74"/>
      <c r="W255" s="74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  <c r="AL255" s="27"/>
      <c r="AM255" s="27"/>
      <c r="AN255" s="27"/>
      <c r="AO255" s="27"/>
      <c r="AP255" s="27"/>
      <c r="AQ255" s="27"/>
      <c r="AR255" s="27"/>
    </row>
    <row r="256" spans="1:44" ht="14.25" customHeight="1" x14ac:dyDescent="0.25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74"/>
      <c r="M256" s="74"/>
      <c r="N256" s="74"/>
      <c r="O256" s="74"/>
      <c r="P256" s="74"/>
      <c r="Q256" s="74"/>
      <c r="R256" s="74"/>
      <c r="S256" s="74"/>
      <c r="T256" s="74"/>
      <c r="U256" s="74"/>
      <c r="V256" s="74"/>
      <c r="W256" s="74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</row>
    <row r="257" spans="1:44" ht="14.25" customHeight="1" x14ac:dyDescent="0.25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74"/>
      <c r="M257" s="74"/>
      <c r="N257" s="74"/>
      <c r="O257" s="74"/>
      <c r="P257" s="74"/>
      <c r="Q257" s="74"/>
      <c r="R257" s="74"/>
      <c r="S257" s="74"/>
      <c r="T257" s="74"/>
      <c r="U257" s="74"/>
      <c r="V257" s="74"/>
      <c r="W257" s="74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</row>
    <row r="258" spans="1:44" ht="14.25" customHeight="1" x14ac:dyDescent="0.25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74"/>
      <c r="M258" s="74"/>
      <c r="N258" s="74"/>
      <c r="O258" s="74"/>
      <c r="P258" s="74"/>
      <c r="Q258" s="74"/>
      <c r="R258" s="74"/>
      <c r="S258" s="74"/>
      <c r="T258" s="74"/>
      <c r="U258" s="74"/>
      <c r="V258" s="74"/>
      <c r="W258" s="74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</row>
    <row r="259" spans="1:44" ht="14.25" customHeight="1" x14ac:dyDescent="0.25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74"/>
      <c r="M259" s="74"/>
      <c r="N259" s="74"/>
      <c r="O259" s="74"/>
      <c r="P259" s="74"/>
      <c r="Q259" s="74"/>
      <c r="R259" s="74"/>
      <c r="S259" s="74"/>
      <c r="T259" s="74"/>
      <c r="U259" s="74"/>
      <c r="V259" s="74"/>
      <c r="W259" s="74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</row>
    <row r="260" spans="1:44" ht="14.25" customHeight="1" x14ac:dyDescent="0.25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74"/>
      <c r="M260" s="74"/>
      <c r="N260" s="74"/>
      <c r="O260" s="74"/>
      <c r="P260" s="74"/>
      <c r="Q260" s="74"/>
      <c r="R260" s="74"/>
      <c r="S260" s="74"/>
      <c r="T260" s="74"/>
      <c r="U260" s="74"/>
      <c r="V260" s="74"/>
      <c r="W260" s="74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</row>
    <row r="261" spans="1:44" ht="14.25" customHeight="1" x14ac:dyDescent="0.25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74"/>
      <c r="M261" s="74"/>
      <c r="N261" s="74"/>
      <c r="O261" s="74"/>
      <c r="P261" s="74"/>
      <c r="Q261" s="74"/>
      <c r="R261" s="74"/>
      <c r="S261" s="74"/>
      <c r="T261" s="74"/>
      <c r="U261" s="74"/>
      <c r="V261" s="74"/>
      <c r="W261" s="74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</row>
    <row r="262" spans="1:44" ht="14.25" customHeight="1" x14ac:dyDescent="0.25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74"/>
      <c r="M262" s="74"/>
      <c r="N262" s="74"/>
      <c r="O262" s="74"/>
      <c r="P262" s="74"/>
      <c r="Q262" s="74"/>
      <c r="R262" s="74"/>
      <c r="S262" s="74"/>
      <c r="T262" s="74"/>
      <c r="U262" s="74"/>
      <c r="V262" s="74"/>
      <c r="W262" s="74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</row>
    <row r="263" spans="1:44" ht="14.25" customHeight="1" x14ac:dyDescent="0.25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74"/>
      <c r="M263" s="74"/>
      <c r="N263" s="74"/>
      <c r="O263" s="74"/>
      <c r="P263" s="74"/>
      <c r="Q263" s="74"/>
      <c r="R263" s="74"/>
      <c r="S263" s="74"/>
      <c r="T263" s="74"/>
      <c r="U263" s="74"/>
      <c r="V263" s="74"/>
      <c r="W263" s="74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</row>
    <row r="264" spans="1:44" ht="14.25" customHeight="1" x14ac:dyDescent="0.25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74"/>
      <c r="M264" s="74"/>
      <c r="N264" s="74"/>
      <c r="O264" s="74"/>
      <c r="P264" s="74"/>
      <c r="Q264" s="74"/>
      <c r="R264" s="74"/>
      <c r="S264" s="74"/>
      <c r="T264" s="74"/>
      <c r="U264" s="74"/>
      <c r="V264" s="74"/>
      <c r="W264" s="74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</row>
    <row r="265" spans="1:44" ht="14.25" customHeight="1" x14ac:dyDescent="0.25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74"/>
      <c r="M265" s="74"/>
      <c r="N265" s="74"/>
      <c r="O265" s="74"/>
      <c r="P265" s="74"/>
      <c r="Q265" s="74"/>
      <c r="R265" s="74"/>
      <c r="S265" s="74"/>
      <c r="T265" s="74"/>
      <c r="U265" s="74"/>
      <c r="V265" s="74"/>
      <c r="W265" s="74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</row>
    <row r="266" spans="1:44" ht="14.25" customHeight="1" x14ac:dyDescent="0.25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74"/>
      <c r="M266" s="74"/>
      <c r="N266" s="74"/>
      <c r="O266" s="74"/>
      <c r="P266" s="74"/>
      <c r="Q266" s="74"/>
      <c r="R266" s="74"/>
      <c r="S266" s="74"/>
      <c r="T266" s="74"/>
      <c r="U266" s="74"/>
      <c r="V266" s="74"/>
      <c r="W266" s="74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</row>
    <row r="267" spans="1:44" ht="14.25" customHeight="1" x14ac:dyDescent="0.25"/>
    <row r="268" spans="1:44" ht="14.25" customHeight="1" x14ac:dyDescent="0.25"/>
    <row r="269" spans="1:44" ht="14.25" customHeight="1" x14ac:dyDescent="0.25"/>
    <row r="270" spans="1:44" ht="14.25" customHeight="1" x14ac:dyDescent="0.25"/>
    <row r="271" spans="1:44" ht="14.25" customHeight="1" x14ac:dyDescent="0.25"/>
    <row r="272" spans="1:44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</sheetData>
  <mergeCells count="4">
    <mergeCell ref="C25:AR25"/>
    <mergeCell ref="C36:AR36"/>
    <mergeCell ref="C47:AR47"/>
    <mergeCell ref="C58:AR58"/>
  </mergeCells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A12" sqref="A12"/>
    </sheetView>
  </sheetViews>
  <sheetFormatPr defaultColWidth="14.42578125" defaultRowHeight="15" customHeight="1" x14ac:dyDescent="0.25"/>
  <cols>
    <col min="1" max="1" width="26.42578125" bestFit="1" customWidth="1"/>
    <col min="2" max="2" width="6.7109375" customWidth="1"/>
    <col min="3" max="3" width="23.28515625" customWidth="1"/>
    <col min="4" max="4" width="18.5703125" customWidth="1"/>
    <col min="5" max="6" width="8.7109375" customWidth="1"/>
    <col min="7" max="7" width="18.28515625" customWidth="1"/>
    <col min="8" max="8" width="8.7109375" customWidth="1"/>
    <col min="9" max="9" width="22.85546875" customWidth="1"/>
    <col min="10" max="10" width="2.28515625" customWidth="1"/>
    <col min="11" max="11" width="18" customWidth="1"/>
    <col min="12" max="12" width="13" customWidth="1"/>
    <col min="13" max="14" width="12.140625" customWidth="1"/>
    <col min="15" max="15" width="19.5703125" customWidth="1"/>
    <col min="16" max="26" width="8.7109375" customWidth="1"/>
  </cols>
  <sheetData>
    <row r="1" spans="1:26" ht="14.2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7" x14ac:dyDescent="0.35">
      <c r="A2" s="13" t="s">
        <v>46</v>
      </c>
      <c r="B2" s="14"/>
      <c r="C2" s="15"/>
      <c r="D2" s="2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7" customHeight="1" x14ac:dyDescent="0.25">
      <c r="A3" s="16" t="s">
        <v>47</v>
      </c>
      <c r="B3" s="17"/>
      <c r="C3" s="17"/>
      <c r="D3" s="17"/>
      <c r="E3" s="17"/>
      <c r="F3" s="17"/>
      <c r="G3" s="18"/>
      <c r="H3" s="1"/>
      <c r="I3" s="19" t="s">
        <v>48</v>
      </c>
      <c r="J3" s="17"/>
      <c r="K3" s="17"/>
      <c r="L3" s="17"/>
      <c r="M3" s="17"/>
      <c r="N3" s="17"/>
      <c r="O3" s="18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25">
      <c r="A4" s="3"/>
      <c r="B4" s="3"/>
      <c r="C4" s="3"/>
      <c r="D4" s="4"/>
      <c r="E4" s="4"/>
      <c r="F4" s="4"/>
      <c r="G4" s="4"/>
      <c r="H4" s="1"/>
      <c r="I4" s="3"/>
      <c r="J4" s="3"/>
      <c r="K4" s="3"/>
      <c r="L4" s="4"/>
      <c r="M4" s="4"/>
      <c r="N4" s="4"/>
      <c r="O4" s="4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5.5" customHeight="1" x14ac:dyDescent="0.25">
      <c r="A5" s="5" t="s">
        <v>49</v>
      </c>
      <c r="B5" s="3"/>
      <c r="C5" s="3"/>
      <c r="D5" s="4"/>
      <c r="E5" s="4"/>
      <c r="F5" s="4"/>
      <c r="G5" s="4"/>
      <c r="H5" s="1"/>
      <c r="I5" s="5" t="s">
        <v>50</v>
      </c>
      <c r="J5" s="3"/>
      <c r="K5" s="3"/>
      <c r="L5" s="4"/>
      <c r="M5" s="4"/>
      <c r="N5" s="4"/>
      <c r="O5" s="4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25">
      <c r="A6" s="3"/>
      <c r="B6" s="3"/>
      <c r="C6" s="3"/>
      <c r="D6" s="4"/>
      <c r="E6" s="4"/>
      <c r="F6" s="4"/>
      <c r="G6" s="4"/>
      <c r="H6" s="1"/>
      <c r="I6" s="3"/>
      <c r="J6" s="3"/>
      <c r="K6" s="3"/>
      <c r="L6" s="4"/>
      <c r="M6" s="4"/>
      <c r="N6" s="4"/>
      <c r="O6" s="4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5.5" customHeight="1" x14ac:dyDescent="0.25">
      <c r="A7" s="6">
        <f>SUM(DATA!C14:E14)</f>
        <v>2285000</v>
      </c>
      <c r="B7" s="3"/>
      <c r="C7" s="7" t="s">
        <v>51</v>
      </c>
      <c r="D7" s="4"/>
      <c r="E7" s="4"/>
      <c r="F7" s="4"/>
      <c r="G7" s="4"/>
      <c r="H7" s="1"/>
      <c r="I7" s="8">
        <f>SUM(DATA!R14:T14)</f>
        <v>301</v>
      </c>
      <c r="J7" s="3"/>
      <c r="K7" s="7" t="s">
        <v>52</v>
      </c>
      <c r="L7" s="4"/>
      <c r="M7" s="4"/>
      <c r="N7" s="4"/>
      <c r="O7" s="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25">
      <c r="A8" s="3"/>
      <c r="B8" s="3"/>
      <c r="C8" s="7"/>
      <c r="D8" s="4"/>
      <c r="E8" s="4"/>
      <c r="F8" s="4"/>
      <c r="G8" s="4"/>
      <c r="H8" s="1"/>
      <c r="I8" s="3"/>
      <c r="J8" s="3"/>
      <c r="K8" s="3"/>
      <c r="L8" s="4"/>
      <c r="M8" s="4"/>
      <c r="N8" s="4"/>
      <c r="O8" s="4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.5" x14ac:dyDescent="0.25">
      <c r="A9" s="6">
        <f>SUM(DATA!F14:H14)</f>
        <v>2325000</v>
      </c>
      <c r="B9" s="3"/>
      <c r="C9" s="7" t="s">
        <v>53</v>
      </c>
      <c r="D9" s="4"/>
      <c r="E9" s="4"/>
      <c r="F9" s="4"/>
      <c r="G9" s="4"/>
      <c r="H9" s="1"/>
      <c r="I9" s="6">
        <f>SUM(DATA!O14:Q14)</f>
        <v>400</v>
      </c>
      <c r="J9" s="3"/>
      <c r="K9" s="7" t="s">
        <v>54</v>
      </c>
      <c r="L9" s="4"/>
      <c r="M9" s="4"/>
      <c r="N9" s="4"/>
      <c r="O9" s="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25">
      <c r="A10" s="3"/>
      <c r="B10" s="3"/>
      <c r="C10" s="7"/>
      <c r="D10" s="4"/>
      <c r="E10" s="4"/>
      <c r="F10" s="4"/>
      <c r="G10" s="4"/>
      <c r="H10" s="1"/>
      <c r="I10" s="3"/>
      <c r="J10" s="3"/>
      <c r="K10" s="7"/>
      <c r="L10" s="4"/>
      <c r="M10" s="4"/>
      <c r="N10" s="4"/>
      <c r="O10" s="4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.5" x14ac:dyDescent="0.25">
      <c r="A11" s="9">
        <f>A7/A9</f>
        <v>0.98279569892473118</v>
      </c>
      <c r="B11" s="3"/>
      <c r="C11" s="7" t="s">
        <v>55</v>
      </c>
      <c r="D11" s="4"/>
      <c r="E11" s="4"/>
      <c r="F11" s="4"/>
      <c r="G11" s="4"/>
      <c r="H11" s="1"/>
      <c r="I11" s="9">
        <f>I7/I9</f>
        <v>0.75249999999999995</v>
      </c>
      <c r="J11" s="3"/>
      <c r="K11" s="7" t="s">
        <v>55</v>
      </c>
      <c r="L11" s="4"/>
      <c r="M11" s="4"/>
      <c r="N11" s="4"/>
      <c r="O11" s="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25">
      <c r="A12" s="4"/>
      <c r="B12" s="4"/>
      <c r="C12" s="10"/>
      <c r="D12" s="4"/>
      <c r="E12" s="4"/>
      <c r="F12" s="4"/>
      <c r="G12" s="4"/>
      <c r="H12" s="1"/>
      <c r="I12" s="4"/>
      <c r="J12" s="4"/>
      <c r="K12" s="4"/>
      <c r="L12" s="4"/>
      <c r="M12" s="4"/>
      <c r="N12" s="4"/>
      <c r="O12" s="4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25">
      <c r="A13" s="4"/>
      <c r="B13" s="4"/>
      <c r="C13" s="4"/>
      <c r="D13" s="4"/>
      <c r="E13" s="4"/>
      <c r="F13" s="4"/>
      <c r="G13" s="4"/>
      <c r="H13" s="1"/>
      <c r="I13" s="4"/>
      <c r="J13" s="4"/>
      <c r="K13" s="4"/>
      <c r="L13" s="4"/>
      <c r="M13" s="4"/>
      <c r="N13" s="4"/>
      <c r="O13" s="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25">
      <c r="A14" s="4"/>
      <c r="B14" s="4"/>
      <c r="C14" s="4"/>
      <c r="D14" s="4"/>
      <c r="E14" s="4"/>
      <c r="F14" s="4"/>
      <c r="G14" s="4"/>
      <c r="H14" s="1"/>
      <c r="I14" s="4"/>
      <c r="J14" s="4"/>
      <c r="K14" s="4"/>
      <c r="L14" s="4"/>
      <c r="M14" s="4"/>
      <c r="N14" s="4"/>
      <c r="O14" s="4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25">
      <c r="A15" s="4"/>
      <c r="B15" s="4"/>
      <c r="C15" s="4"/>
      <c r="D15" s="4"/>
      <c r="E15" s="4"/>
      <c r="F15" s="4"/>
      <c r="G15" s="4"/>
      <c r="H15" s="1"/>
      <c r="I15" s="4"/>
      <c r="J15" s="4"/>
      <c r="K15" s="4"/>
      <c r="L15" s="4"/>
      <c r="M15" s="4"/>
      <c r="N15" s="4"/>
      <c r="O15" s="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35.25" customHeight="1" x14ac:dyDescent="0.25">
      <c r="A16" s="4"/>
      <c r="B16" s="4"/>
      <c r="C16" s="4"/>
      <c r="D16" s="4"/>
      <c r="E16" s="4"/>
      <c r="F16" s="4"/>
      <c r="G16" s="4"/>
      <c r="H16" s="1"/>
      <c r="I16" s="4"/>
      <c r="J16" s="4"/>
      <c r="K16" s="4"/>
      <c r="L16" s="4"/>
      <c r="M16" s="4"/>
      <c r="N16" s="4"/>
      <c r="O16" s="4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25">
      <c r="A18" s="20" t="s">
        <v>56</v>
      </c>
      <c r="B18" s="21"/>
      <c r="C18" s="21"/>
      <c r="D18" s="21"/>
      <c r="E18" s="21"/>
      <c r="F18" s="21"/>
      <c r="G18" s="22"/>
      <c r="H18" s="1"/>
      <c r="I18" s="26" t="s">
        <v>57</v>
      </c>
      <c r="J18" s="21"/>
      <c r="K18" s="21"/>
      <c r="L18" s="21"/>
      <c r="M18" s="21"/>
      <c r="N18" s="21"/>
      <c r="O18" s="22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25">
      <c r="A19" s="23"/>
      <c r="B19" s="24"/>
      <c r="C19" s="24"/>
      <c r="D19" s="24"/>
      <c r="E19" s="24"/>
      <c r="F19" s="24"/>
      <c r="G19" s="25"/>
      <c r="H19" s="1"/>
      <c r="I19" s="23"/>
      <c r="J19" s="24"/>
      <c r="K19" s="24"/>
      <c r="L19" s="24"/>
      <c r="M19" s="24"/>
      <c r="N19" s="24"/>
      <c r="O19" s="25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25">
      <c r="A20" s="3"/>
      <c r="B20" s="3"/>
      <c r="C20" s="3"/>
      <c r="D20" s="4"/>
      <c r="E20" s="4"/>
      <c r="F20" s="4"/>
      <c r="G20" s="4"/>
      <c r="H20" s="1"/>
      <c r="I20" s="3"/>
      <c r="J20" s="3"/>
      <c r="K20" s="3"/>
      <c r="L20" s="4"/>
      <c r="M20" s="4"/>
      <c r="N20" s="4"/>
      <c r="O20" s="4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36" customHeight="1" x14ac:dyDescent="0.25">
      <c r="A21" s="11" t="s">
        <v>58</v>
      </c>
      <c r="B21" s="3"/>
      <c r="C21" s="3"/>
      <c r="D21" s="4"/>
      <c r="E21" s="4"/>
      <c r="F21" s="4"/>
      <c r="G21" s="4"/>
      <c r="H21" s="1"/>
      <c r="I21" s="12" t="s">
        <v>59</v>
      </c>
      <c r="J21" s="3"/>
      <c r="K21" s="3"/>
      <c r="L21" s="4"/>
      <c r="M21" s="4"/>
      <c r="N21" s="4"/>
      <c r="O21" s="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5">
      <c r="A22" s="3"/>
      <c r="B22" s="3"/>
      <c r="C22" s="3"/>
      <c r="D22" s="4"/>
      <c r="E22" s="4"/>
      <c r="F22" s="4"/>
      <c r="G22" s="4"/>
      <c r="H22" s="1"/>
      <c r="I22" s="3"/>
      <c r="J22" s="3"/>
      <c r="K22" s="3"/>
      <c r="L22" s="4"/>
      <c r="M22" s="4"/>
      <c r="N22" s="4"/>
      <c r="O22" s="4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.5" x14ac:dyDescent="0.25">
      <c r="A23" s="6">
        <f>SUM(DATA!AJ14:AL14)/3</f>
        <v>2711.7666666666669</v>
      </c>
      <c r="B23" s="3"/>
      <c r="C23" s="7" t="s">
        <v>60</v>
      </c>
      <c r="D23" s="4"/>
      <c r="E23" s="4"/>
      <c r="F23" s="4"/>
      <c r="G23" s="4"/>
      <c r="H23" s="1"/>
      <c r="I23" s="6">
        <f>SUM(DATA!AA14:AC14)/3</f>
        <v>362.0453333333333</v>
      </c>
      <c r="J23" s="6"/>
      <c r="K23" s="7" t="s">
        <v>61</v>
      </c>
      <c r="L23" s="4"/>
      <c r="M23" s="4"/>
      <c r="N23" s="4"/>
      <c r="O23" s="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9.5" x14ac:dyDescent="0.25">
      <c r="A24" s="3"/>
      <c r="B24" s="3"/>
      <c r="C24" s="7"/>
      <c r="D24" s="4"/>
      <c r="E24" s="4"/>
      <c r="F24" s="4"/>
      <c r="G24" s="4"/>
      <c r="H24" s="1"/>
      <c r="I24" s="6"/>
      <c r="J24" s="6"/>
      <c r="K24" s="7"/>
      <c r="L24" s="4"/>
      <c r="M24" s="4"/>
      <c r="N24" s="4"/>
      <c r="O24" s="4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.5" x14ac:dyDescent="0.25">
      <c r="A25" s="6">
        <f>SUM(DATA!AP14:AR14)/3</f>
        <v>2333.3333333333335</v>
      </c>
      <c r="B25" s="3"/>
      <c r="C25" s="7" t="s">
        <v>62</v>
      </c>
      <c r="D25" s="4"/>
      <c r="E25" s="4"/>
      <c r="F25" s="4"/>
      <c r="G25" s="4"/>
      <c r="H25" s="1"/>
      <c r="I25" s="6">
        <f>SUM(DATA!AD14:AF14)/3</f>
        <v>383.33333333333331</v>
      </c>
      <c r="J25" s="6"/>
      <c r="K25" s="7" t="s">
        <v>63</v>
      </c>
      <c r="L25" s="4"/>
      <c r="M25" s="4"/>
      <c r="N25" s="4"/>
      <c r="O25" s="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9.5" x14ac:dyDescent="0.25">
      <c r="A26" s="3"/>
      <c r="B26" s="3"/>
      <c r="C26" s="7"/>
      <c r="D26" s="4"/>
      <c r="E26" s="4"/>
      <c r="F26" s="4"/>
      <c r="G26" s="4"/>
      <c r="H26" s="1"/>
      <c r="I26" s="6"/>
      <c r="J26" s="6"/>
      <c r="K26" s="7"/>
      <c r="L26" s="4"/>
      <c r="M26" s="4"/>
      <c r="N26" s="4"/>
      <c r="O26" s="4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.5" x14ac:dyDescent="0.25">
      <c r="A27" s="9">
        <f>A23/A25</f>
        <v>1.1621857142857144</v>
      </c>
      <c r="B27" s="3"/>
      <c r="C27" s="7" t="s">
        <v>55</v>
      </c>
      <c r="D27" s="4"/>
      <c r="E27" s="4"/>
      <c r="F27" s="4"/>
      <c r="G27" s="4"/>
      <c r="H27" s="1"/>
      <c r="I27" s="9">
        <f>I23/I25</f>
        <v>0.94446608695652168</v>
      </c>
      <c r="J27" s="6"/>
      <c r="K27" s="7" t="s">
        <v>55</v>
      </c>
      <c r="L27" s="4"/>
      <c r="M27" s="4"/>
      <c r="N27" s="4"/>
      <c r="O27" s="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25">
      <c r="A28" s="4"/>
      <c r="B28" s="4"/>
      <c r="C28" s="4"/>
      <c r="D28" s="4"/>
      <c r="E28" s="4"/>
      <c r="F28" s="4"/>
      <c r="G28" s="4"/>
      <c r="H28" s="1"/>
      <c r="I28" s="4"/>
      <c r="J28" s="4"/>
      <c r="K28" s="4"/>
      <c r="L28" s="4"/>
      <c r="M28" s="4"/>
      <c r="N28" s="4"/>
      <c r="O28" s="4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25">
      <c r="A29" s="4"/>
      <c r="B29" s="4"/>
      <c r="C29" s="4"/>
      <c r="D29" s="4"/>
      <c r="E29" s="4"/>
      <c r="F29" s="4"/>
      <c r="G29" s="4"/>
      <c r="H29" s="1"/>
      <c r="I29" s="4"/>
      <c r="J29" s="4"/>
      <c r="K29" s="4"/>
      <c r="L29" s="4"/>
      <c r="M29" s="4"/>
      <c r="N29" s="4"/>
      <c r="O29" s="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25">
      <c r="A30" s="4"/>
      <c r="B30" s="4"/>
      <c r="C30" s="4"/>
      <c r="D30" s="4"/>
      <c r="E30" s="4"/>
      <c r="F30" s="4"/>
      <c r="G30" s="4"/>
      <c r="H30" s="1"/>
      <c r="I30" s="4"/>
      <c r="J30" s="4"/>
      <c r="K30" s="4"/>
      <c r="L30" s="4"/>
      <c r="M30" s="4"/>
      <c r="N30" s="4"/>
      <c r="O30" s="4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25">
      <c r="A31" s="4"/>
      <c r="B31" s="4"/>
      <c r="C31" s="4"/>
      <c r="D31" s="4"/>
      <c r="E31" s="4"/>
      <c r="F31" s="4"/>
      <c r="G31" s="4"/>
      <c r="H31" s="1"/>
      <c r="I31" s="4"/>
      <c r="J31" s="4"/>
      <c r="K31" s="4"/>
      <c r="L31" s="4"/>
      <c r="M31" s="4"/>
      <c r="N31" s="4"/>
      <c r="O31" s="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53.25" customHeight="1" x14ac:dyDescent="0.25">
      <c r="A32" s="4"/>
      <c r="B32" s="4"/>
      <c r="C32" s="4"/>
      <c r="D32" s="4"/>
      <c r="E32" s="4"/>
      <c r="F32" s="4"/>
      <c r="G32" s="4"/>
      <c r="H32" s="1"/>
      <c r="I32" s="4"/>
      <c r="J32" s="4"/>
      <c r="K32" s="4"/>
      <c r="L32" s="4"/>
      <c r="M32" s="4"/>
      <c r="N32" s="4"/>
      <c r="O32" s="4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A2:C2"/>
    <mergeCell ref="A3:G3"/>
    <mergeCell ref="I3:O3"/>
    <mergeCell ref="A18:G19"/>
    <mergeCell ref="I18:O19"/>
  </mergeCells>
  <pageMargins left="0.7" right="0.7" top="0.75" bottom="0.75" header="0" footer="0"/>
  <pageSetup paperSize="9" orientation="portrait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DATA!$H$1:$H$4</xm:f>
          </x14:formula1>
          <xm:sqref>D2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Jayesh</dc:creator>
  <cp:lastModifiedBy>Chinmayi Sutar</cp:lastModifiedBy>
  <dcterms:created xsi:type="dcterms:W3CDTF">2015-06-05T18:17:20Z</dcterms:created>
  <dcterms:modified xsi:type="dcterms:W3CDTF">2026-07-13T10:43:55Z</dcterms:modified>
</cp:coreProperties>
</file>