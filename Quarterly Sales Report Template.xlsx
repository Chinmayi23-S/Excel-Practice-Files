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xr:revisionPtr revIDLastSave="0" documentId="13_ncr:1_{49D67DD9-D68D-43AC-AF78-3164D3E662C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+ijccjK6hK/HNRsWTB4dRSvfcQkQss6IjKBN0Cxwrg="/>
    </ext>
  </extLst>
</workbook>
</file>

<file path=xl/calcChain.xml><?xml version="1.0" encoding="utf-8"?>
<calcChain xmlns="http://schemas.openxmlformats.org/spreadsheetml/2006/main">
  <c r="AR66" i="1" l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D16" i="1" s="1"/>
  <c r="E5" i="1"/>
  <c r="C7" i="1" s="1" a="1"/>
  <c r="C7" i="1" s="1"/>
  <c r="G12" i="1" l="1" a="1"/>
  <c r="G12" i="1" s="1"/>
  <c r="T13" i="1" a="1"/>
  <c r="T13" i="1" s="1"/>
  <c r="K14" i="1" a="1"/>
  <c r="K14" i="1" s="1"/>
  <c r="C10" i="1" a="1"/>
  <c r="C10" i="1" s="1"/>
  <c r="H12" i="1" a="1"/>
  <c r="H12" i="1" s="1"/>
  <c r="Y13" i="1" a="1"/>
  <c r="Y13" i="1" s="1"/>
  <c r="U10" i="1" a="1"/>
  <c r="U10" i="1" s="1"/>
  <c r="D10" i="1" a="1"/>
  <c r="D10" i="1" s="1"/>
  <c r="H10" i="1" a="1"/>
  <c r="H10" i="1" s="1"/>
  <c r="AJ12" i="1" a="1"/>
  <c r="AJ12" i="1" s="1"/>
  <c r="D9" i="1" a="1"/>
  <c r="D9" i="1" s="1"/>
  <c r="J14" i="1" a="1"/>
  <c r="J14" i="1" s="1"/>
  <c r="L14" i="1" a="1"/>
  <c r="L14" i="1" s="1"/>
  <c r="AC14" i="1" a="1"/>
  <c r="AC14" i="1" s="1"/>
  <c r="AF11" i="1" a="1"/>
  <c r="AF11" i="1" s="1"/>
  <c r="C13" i="1" a="1"/>
  <c r="C13" i="1" s="1"/>
  <c r="G13" i="1" a="1"/>
  <c r="G13" i="1" s="1"/>
  <c r="K12" i="1" a="1"/>
  <c r="K12" i="1" s="1"/>
  <c r="P9" i="1" a="1"/>
  <c r="P9" i="1" s="1"/>
  <c r="AJ13" i="1" a="1"/>
  <c r="AJ13" i="1" s="1"/>
  <c r="AR9" i="1" a="1"/>
  <c r="AR9" i="1" s="1"/>
  <c r="E11" i="1" a="1"/>
  <c r="E11" i="1" s="1"/>
  <c r="G10" i="1" a="1"/>
  <c r="G10" i="1" s="1"/>
  <c r="J13" i="1" a="1"/>
  <c r="J13" i="1" s="1"/>
  <c r="I11" i="1" a="1"/>
  <c r="I11" i="1" s="1"/>
  <c r="I9" i="1" a="1"/>
  <c r="I9" i="1" s="1"/>
  <c r="L12" i="1" a="1"/>
  <c r="L12" i="1" s="1"/>
  <c r="P13" i="1" a="1"/>
  <c r="P13" i="1" s="1"/>
  <c r="R12" i="1" a="1"/>
  <c r="R12" i="1" s="1"/>
  <c r="V11" i="1" a="1"/>
  <c r="V11" i="1" s="1"/>
  <c r="AI14" i="1" a="1"/>
  <c r="AI14" i="1" s="1"/>
  <c r="X14" i="1" a="1"/>
  <c r="X14" i="1" s="1"/>
  <c r="AO12" i="1" a="1"/>
  <c r="AO12" i="1" s="1"/>
  <c r="Z12" i="1" a="1"/>
  <c r="Z12" i="1" s="1"/>
  <c r="AL10" i="1" a="1"/>
  <c r="AL10" i="1" s="1"/>
  <c r="AB9" i="1" a="1"/>
  <c r="AB9" i="1" s="1"/>
  <c r="L13" i="1" a="1"/>
  <c r="L13" i="1" s="1"/>
  <c r="L10" i="1" a="1"/>
  <c r="L10" i="1" s="1"/>
  <c r="O9" i="1" a="1"/>
  <c r="O9" i="1" s="1"/>
  <c r="S12" i="1" a="1"/>
  <c r="S12" i="1" s="1"/>
  <c r="T9" i="1" a="1"/>
  <c r="T9" i="1" s="1"/>
  <c r="AN14" i="1" a="1"/>
  <c r="AN14" i="1" s="1"/>
  <c r="AI13" i="1" a="1"/>
  <c r="AI13" i="1" s="1"/>
  <c r="AP12" i="1" a="1"/>
  <c r="AP12" i="1" s="1"/>
  <c r="AE12" i="1" a="1"/>
  <c r="AE12" i="1" s="1"/>
  <c r="AQ10" i="1" a="1"/>
  <c r="AQ10" i="1" s="1"/>
  <c r="AG9" i="1" a="1"/>
  <c r="AG9" i="1" s="1"/>
  <c r="C14" i="1" a="1"/>
  <c r="C14" i="1" s="1"/>
  <c r="D12" i="1" a="1"/>
  <c r="D12" i="1" s="1"/>
  <c r="E10" i="1" a="1"/>
  <c r="E10" i="1" s="1"/>
  <c r="F10" i="1" a="1"/>
  <c r="F10" i="1" s="1"/>
  <c r="I10" i="1" a="1"/>
  <c r="I10" i="1" s="1"/>
  <c r="M14" i="1" a="1"/>
  <c r="M14" i="1" s="1"/>
  <c r="N11" i="1" a="1"/>
  <c r="N11" i="1" s="1"/>
  <c r="O13" i="1" a="1"/>
  <c r="O13" i="1" s="1"/>
  <c r="U14" i="1" a="1"/>
  <c r="U14" i="1" s="1"/>
  <c r="V10" i="1" a="1"/>
  <c r="V10" i="1" s="1"/>
  <c r="AD14" i="1" a="1"/>
  <c r="AD14" i="1" s="1"/>
  <c r="AO13" i="1" a="1"/>
  <c r="AO13" i="1" s="1"/>
  <c r="AD13" i="1" a="1"/>
  <c r="AD13" i="1" s="1"/>
  <c r="AK11" i="1" a="1"/>
  <c r="AK11" i="1" s="1"/>
  <c r="AA10" i="1" a="1"/>
  <c r="AA10" i="1" s="1"/>
  <c r="W9" i="1" a="1"/>
  <c r="W9" i="1" s="1"/>
  <c r="Z9" i="1" a="1"/>
  <c r="Z9" i="1" s="1"/>
  <c r="AE9" i="1" a="1"/>
  <c r="AE9" i="1" s="1"/>
  <c r="AH9" i="1" a="1"/>
  <c r="AH9" i="1" s="1"/>
  <c r="AM9" i="1" a="1"/>
  <c r="AM9" i="1" s="1"/>
  <c r="AP9" i="1" a="1"/>
  <c r="AP9" i="1" s="1"/>
  <c r="Y10" i="1" a="1"/>
  <c r="Y10" i="1" s="1"/>
  <c r="AB10" i="1" a="1"/>
  <c r="AB10" i="1" s="1"/>
  <c r="AG10" i="1" a="1"/>
  <c r="AG10" i="1" s="1"/>
  <c r="AJ10" i="1" a="1"/>
  <c r="AJ10" i="1" s="1"/>
  <c r="AO10" i="1" a="1"/>
  <c r="AO10" i="1" s="1"/>
  <c r="AR10" i="1" a="1"/>
  <c r="AR10" i="1" s="1"/>
  <c r="AA11" i="1" a="1"/>
  <c r="AA11" i="1" s="1"/>
  <c r="AD11" i="1" a="1"/>
  <c r="AD11" i="1" s="1"/>
  <c r="AI11" i="1" a="1"/>
  <c r="AI11" i="1" s="1"/>
  <c r="AL11" i="1" a="1"/>
  <c r="AL11" i="1" s="1"/>
  <c r="AQ11" i="1" a="1"/>
  <c r="AQ11" i="1" s="1"/>
  <c r="X12" i="1" a="1"/>
  <c r="X12" i="1" s="1"/>
  <c r="AC12" i="1" a="1"/>
  <c r="AC12" i="1" s="1"/>
  <c r="AF12" i="1" a="1"/>
  <c r="AF12" i="1" s="1"/>
  <c r="AK12" i="1" a="1"/>
  <c r="AK12" i="1" s="1"/>
  <c r="AN12" i="1" a="1"/>
  <c r="AN12" i="1" s="1"/>
  <c r="W13" i="1" a="1"/>
  <c r="W13" i="1" s="1"/>
  <c r="Z13" i="1" a="1"/>
  <c r="Z13" i="1" s="1"/>
  <c r="AE13" i="1" a="1"/>
  <c r="AE13" i="1" s="1"/>
  <c r="AH13" i="1" a="1"/>
  <c r="AH13" i="1" s="1"/>
  <c r="AM13" i="1" a="1"/>
  <c r="AM13" i="1" s="1"/>
  <c r="AP13" i="1" a="1"/>
  <c r="AP13" i="1" s="1"/>
  <c r="Y14" i="1" a="1"/>
  <c r="Y14" i="1" s="1"/>
  <c r="AB14" i="1" a="1"/>
  <c r="AB14" i="1" s="1"/>
  <c r="AG14" i="1" a="1"/>
  <c r="AG14" i="1" s="1"/>
  <c r="AJ14" i="1" a="1"/>
  <c r="AJ14" i="1" s="1"/>
  <c r="AO14" i="1" a="1"/>
  <c r="AO14" i="1" s="1"/>
  <c r="AR14" i="1" a="1"/>
  <c r="AR14" i="1" s="1"/>
  <c r="V12" i="1" a="1"/>
  <c r="V12" i="1" s="1"/>
  <c r="R9" i="1" a="1"/>
  <c r="R9" i="1" s="1"/>
  <c r="U9" i="1" a="1"/>
  <c r="U9" i="1" s="1"/>
  <c r="R11" i="1" a="1"/>
  <c r="R11" i="1" s="1"/>
  <c r="U11" i="1" a="1"/>
  <c r="U11" i="1" s="1"/>
  <c r="R13" i="1" a="1"/>
  <c r="R13" i="1" s="1"/>
  <c r="U13" i="1" a="1"/>
  <c r="U13" i="1" s="1"/>
  <c r="Q9" i="1" a="1"/>
  <c r="Q9" i="1" s="1"/>
  <c r="Q13" i="1" a="1"/>
  <c r="Q13" i="1" s="1"/>
  <c r="O10" i="1" a="1"/>
  <c r="O10" i="1" s="1"/>
  <c r="O12" i="1" a="1"/>
  <c r="O12" i="1" s="1"/>
  <c r="O14" i="1" a="1"/>
  <c r="O14" i="1" s="1"/>
  <c r="M10" i="1" a="1"/>
  <c r="M10" i="1" s="1"/>
  <c r="M11" i="1" a="1"/>
  <c r="M11" i="1" s="1"/>
  <c r="X9" i="1" a="1"/>
  <c r="X9" i="1" s="1"/>
  <c r="AC9" i="1" a="1"/>
  <c r="AC9" i="1" s="1"/>
  <c r="AF9" i="1" a="1"/>
  <c r="AF9" i="1" s="1"/>
  <c r="AK9" i="1" a="1"/>
  <c r="AK9" i="1" s="1"/>
  <c r="AN9" i="1" a="1"/>
  <c r="AN9" i="1" s="1"/>
  <c r="W10" i="1" a="1"/>
  <c r="W10" i="1" s="1"/>
  <c r="Z10" i="1" a="1"/>
  <c r="Z10" i="1" s="1"/>
  <c r="AE10" i="1" a="1"/>
  <c r="AE10" i="1" s="1"/>
  <c r="AH10" i="1" a="1"/>
  <c r="AH10" i="1" s="1"/>
  <c r="AM10" i="1" a="1"/>
  <c r="AM10" i="1" s="1"/>
  <c r="AP10" i="1" a="1"/>
  <c r="AP10" i="1" s="1"/>
  <c r="Y11" i="1" a="1"/>
  <c r="Y11" i="1" s="1"/>
  <c r="AB11" i="1" a="1"/>
  <c r="AB11" i="1" s="1"/>
  <c r="AG11" i="1" a="1"/>
  <c r="AG11" i="1" s="1"/>
  <c r="AJ11" i="1" a="1"/>
  <c r="AJ11" i="1" s="1"/>
  <c r="AO11" i="1" a="1"/>
  <c r="AO11" i="1" s="1"/>
  <c r="AR11" i="1" a="1"/>
  <c r="AR11" i="1" s="1"/>
  <c r="AA12" i="1" a="1"/>
  <c r="AA12" i="1" s="1"/>
  <c r="AD12" i="1" a="1"/>
  <c r="AD12" i="1" s="1"/>
  <c r="AI12" i="1" a="1"/>
  <c r="AI12" i="1" s="1"/>
  <c r="AL12" i="1" a="1"/>
  <c r="AL12" i="1" s="1"/>
  <c r="AQ12" i="1" a="1"/>
  <c r="AQ12" i="1" s="1"/>
  <c r="X13" i="1" a="1"/>
  <c r="X13" i="1" s="1"/>
  <c r="AC13" i="1" a="1"/>
  <c r="AC13" i="1" s="1"/>
  <c r="AF13" i="1" a="1"/>
  <c r="AF13" i="1" s="1"/>
  <c r="AK13" i="1" a="1"/>
  <c r="AK13" i="1" s="1"/>
  <c r="AN13" i="1" a="1"/>
  <c r="AN13" i="1" s="1"/>
  <c r="W14" i="1" a="1"/>
  <c r="W14" i="1" s="1"/>
  <c r="Z14" i="1" a="1"/>
  <c r="Z14" i="1" s="1"/>
  <c r="AE14" i="1" a="1"/>
  <c r="AE14" i="1" s="1"/>
  <c r="AH14" i="1" a="1"/>
  <c r="AH14" i="1" s="1"/>
  <c r="AM14" i="1" a="1"/>
  <c r="AM14" i="1" s="1"/>
  <c r="AP14" i="1" a="1"/>
  <c r="AP14" i="1" s="1"/>
  <c r="V13" i="1" a="1"/>
  <c r="V13" i="1" s="1"/>
  <c r="S9" i="1" a="1"/>
  <c r="S9" i="1" s="1"/>
  <c r="T10" i="1" a="1"/>
  <c r="T10" i="1" s="1"/>
  <c r="S11" i="1" a="1"/>
  <c r="S11" i="1" s="1"/>
  <c r="T12" i="1" a="1"/>
  <c r="T12" i="1" s="1"/>
  <c r="S13" i="1" a="1"/>
  <c r="S13" i="1" s="1"/>
  <c r="T14" i="1" a="1"/>
  <c r="T14" i="1" s="1"/>
  <c r="Q10" i="1" a="1"/>
  <c r="Q10" i="1" s="1"/>
  <c r="Q14" i="1" a="1"/>
  <c r="Q14" i="1" s="1"/>
  <c r="P10" i="1" a="1"/>
  <c r="P10" i="1" s="1"/>
  <c r="P12" i="1" a="1"/>
  <c r="P12" i="1" s="1"/>
  <c r="P14" i="1" a="1"/>
  <c r="P14" i="1" s="1"/>
  <c r="N9" i="1" a="1"/>
  <c r="N9" i="1" s="1"/>
  <c r="N10" i="1" a="1"/>
  <c r="N10" i="1" s="1"/>
  <c r="M12" i="1" a="1"/>
  <c r="M12" i="1" s="1"/>
  <c r="M13" i="1" a="1"/>
  <c r="M13" i="1" s="1"/>
  <c r="H9" i="1" a="1"/>
  <c r="H9" i="1" s="1"/>
  <c r="K9" i="1" a="1"/>
  <c r="K9" i="1" s="1"/>
  <c r="H11" i="1" a="1"/>
  <c r="H11" i="1" s="1"/>
  <c r="K11" i="1" a="1"/>
  <c r="K11" i="1" s="1"/>
  <c r="H13" i="1" a="1"/>
  <c r="H13" i="1" s="1"/>
  <c r="K13" i="1" a="1"/>
  <c r="K13" i="1" s="1"/>
  <c r="F9" i="1" a="1"/>
  <c r="F9" i="1" s="1"/>
  <c r="F11" i="1" a="1"/>
  <c r="F11" i="1" s="1"/>
  <c r="F13" i="1" a="1"/>
  <c r="F13" i="1" s="1"/>
  <c r="E9" i="1" a="1"/>
  <c r="E9" i="1" s="1"/>
  <c r="E13" i="1" a="1"/>
  <c r="E13" i="1" s="1"/>
  <c r="C12" i="1" a="1"/>
  <c r="C12" i="1" s="1"/>
  <c r="D14" i="1" a="1"/>
  <c r="D14" i="1" s="1"/>
  <c r="D11" i="1" a="1"/>
  <c r="D11" i="1" s="1"/>
  <c r="E14" i="1" a="1"/>
  <c r="E14" i="1" s="1"/>
  <c r="G14" i="1" a="1"/>
  <c r="G14" i="1" s="1"/>
  <c r="F12" i="1" a="1"/>
  <c r="F12" i="1" s="1"/>
  <c r="G9" i="1" a="1"/>
  <c r="G9" i="1" s="1"/>
  <c r="I14" i="1" a="1"/>
  <c r="I14" i="1" s="1"/>
  <c r="J12" i="1" a="1"/>
  <c r="J12" i="1" s="1"/>
  <c r="J11" i="1" a="1"/>
  <c r="J11" i="1" s="1"/>
  <c r="K10" i="1" a="1"/>
  <c r="K10" i="1" s="1"/>
  <c r="N13" i="1" a="1"/>
  <c r="N13" i="1" s="1"/>
  <c r="N12" i="1" a="1"/>
  <c r="N12" i="1" s="1"/>
  <c r="L11" i="1" a="1"/>
  <c r="L11" i="1" s="1"/>
  <c r="M9" i="1" a="1"/>
  <c r="M9" i="1" s="1"/>
  <c r="P11" i="1" a="1"/>
  <c r="P11" i="1" s="1"/>
  <c r="Q12" i="1" a="1"/>
  <c r="Q12" i="1" s="1"/>
  <c r="S14" i="1" a="1"/>
  <c r="S14" i="1" s="1"/>
  <c r="T11" i="1" a="1"/>
  <c r="T11" i="1" s="1"/>
  <c r="S10" i="1" a="1"/>
  <c r="S10" i="1" s="1"/>
  <c r="V9" i="1" a="1"/>
  <c r="V9" i="1" s="1"/>
  <c r="AQ14" i="1" a="1"/>
  <c r="AQ14" i="1" s="1"/>
  <c r="AL14" i="1" a="1"/>
  <c r="AL14" i="1" s="1"/>
  <c r="AA14" i="1" a="1"/>
  <c r="AA14" i="1" s="1"/>
  <c r="AR13" i="1" a="1"/>
  <c r="AR13" i="1" s="1"/>
  <c r="AG13" i="1" a="1"/>
  <c r="AG13" i="1" s="1"/>
  <c r="AB13" i="1" a="1"/>
  <c r="AB13" i="1" s="1"/>
  <c r="AM12" i="1" a="1"/>
  <c r="AM12" i="1" s="1"/>
  <c r="AH12" i="1" a="1"/>
  <c r="AH12" i="1" s="1"/>
  <c r="W12" i="1" a="1"/>
  <c r="W12" i="1" s="1"/>
  <c r="AN11" i="1" a="1"/>
  <c r="AN11" i="1" s="1"/>
  <c r="AC11" i="1" a="1"/>
  <c r="AC11" i="1" s="1"/>
  <c r="X11" i="1" a="1"/>
  <c r="X11" i="1" s="1"/>
  <c r="AI10" i="1" a="1"/>
  <c r="AI10" i="1" s="1"/>
  <c r="AD10" i="1" a="1"/>
  <c r="AD10" i="1" s="1"/>
  <c r="AO9" i="1" a="1"/>
  <c r="AO9" i="1" s="1"/>
  <c r="AJ9" i="1" a="1"/>
  <c r="AJ9" i="1" s="1"/>
  <c r="Y9" i="1" a="1"/>
  <c r="Y9" i="1" s="1"/>
  <c r="Y12" i="1" a="1"/>
  <c r="Y12" i="1" s="1"/>
  <c r="AP11" i="1" a="1"/>
  <c r="AP11" i="1" s="1"/>
  <c r="AE11" i="1" a="1"/>
  <c r="AE11" i="1" s="1"/>
  <c r="Z11" i="1" a="1"/>
  <c r="Z11" i="1" s="1"/>
  <c r="AK10" i="1" a="1"/>
  <c r="AK10" i="1" s="1"/>
  <c r="AF10" i="1" a="1"/>
  <c r="AF10" i="1" s="1"/>
  <c r="AQ9" i="1" a="1"/>
  <c r="AQ9" i="1" s="1"/>
  <c r="AL9" i="1" a="1"/>
  <c r="AL9" i="1" s="1"/>
  <c r="AA9" i="1" a="1"/>
  <c r="AA9" i="1" s="1"/>
  <c r="C9" i="1" a="1"/>
  <c r="C9" i="1" s="1"/>
  <c r="C11" i="1" a="1"/>
  <c r="C11" i="1" s="1"/>
  <c r="D13" i="1" a="1"/>
  <c r="D13" i="1" s="1"/>
  <c r="E12" i="1" a="1"/>
  <c r="E12" i="1" s="1"/>
  <c r="F14" i="1" a="1"/>
  <c r="F14" i="1" s="1"/>
  <c r="G11" i="1" a="1"/>
  <c r="G11" i="1" s="1"/>
  <c r="H14" i="1" a="1"/>
  <c r="H14" i="1" s="1"/>
  <c r="I13" i="1" a="1"/>
  <c r="I13" i="1" s="1"/>
  <c r="I12" i="1" a="1"/>
  <c r="I12" i="1" s="1"/>
  <c r="J10" i="1" a="1"/>
  <c r="J10" i="1" s="1"/>
  <c r="J9" i="1" a="1"/>
  <c r="J9" i="1" s="1"/>
  <c r="N14" i="1" a="1"/>
  <c r="N14" i="1" s="1"/>
  <c r="L9" i="1" a="1"/>
  <c r="L9" i="1" s="1"/>
  <c r="O11" i="1" a="1"/>
  <c r="O11" i="1" s="1"/>
  <c r="Q11" i="1" a="1"/>
  <c r="Q11" i="1" s="1"/>
  <c r="R14" i="1" a="1"/>
  <c r="R14" i="1" s="1"/>
  <c r="U12" i="1" a="1"/>
  <c r="U12" i="1" s="1"/>
  <c r="R10" i="1" a="1"/>
  <c r="R10" i="1" s="1"/>
  <c r="V14" i="1" a="1"/>
  <c r="V14" i="1" s="1"/>
  <c r="AK14" i="1" a="1"/>
  <c r="AK14" i="1" s="1"/>
  <c r="AF14" i="1" a="1"/>
  <c r="AF14" i="1" s="1"/>
  <c r="AQ13" i="1" a="1"/>
  <c r="AQ13" i="1" s="1"/>
  <c r="AL13" i="1" a="1"/>
  <c r="AL13" i="1" s="1"/>
  <c r="AA13" i="1" a="1"/>
  <c r="AA13" i="1" s="1"/>
  <c r="AR12" i="1" a="1"/>
  <c r="AR12" i="1" s="1"/>
  <c r="AG12" i="1" a="1"/>
  <c r="AG12" i="1" s="1"/>
  <c r="AB12" i="1" a="1"/>
  <c r="AB12" i="1" s="1"/>
  <c r="AM11" i="1" a="1"/>
  <c r="AM11" i="1" s="1"/>
  <c r="AH11" i="1" a="1"/>
  <c r="AH11" i="1" s="1"/>
  <c r="W11" i="1" a="1"/>
  <c r="W11" i="1" s="1"/>
  <c r="AN10" i="1" a="1"/>
  <c r="AN10" i="1" s="1"/>
  <c r="AC10" i="1" a="1"/>
  <c r="AC10" i="1" s="1"/>
  <c r="X10" i="1" a="1"/>
  <c r="X10" i="1" s="1"/>
  <c r="AI9" i="1" a="1"/>
  <c r="AI9" i="1" s="1"/>
  <c r="AD9" i="1" a="1"/>
  <c r="AD9" i="1" s="1"/>
  <c r="D18" i="1"/>
  <c r="D17" i="1"/>
  <c r="D19" i="1" s="1"/>
  <c r="I23" i="2" l="1"/>
  <c r="I25" i="2"/>
  <c r="A23" i="2"/>
  <c r="I7" i="2"/>
  <c r="I9" i="2"/>
  <c r="A25" i="2"/>
  <c r="A9" i="2"/>
  <c r="A7" i="2"/>
  <c r="A27" i="2" l="1"/>
  <c r="A11" i="2"/>
  <c r="I27" i="2"/>
  <c r="I1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<sst xmlns="http://schemas.openxmlformats.org/spreadsheetml/2006/main" count="444" uniqueCount="64">
  <si>
    <t>Options:</t>
  </si>
  <si>
    <t>Q1 2024</t>
  </si>
  <si>
    <t>Q2 2024</t>
  </si>
  <si>
    <t>Q3 2024</t>
  </si>
  <si>
    <t>Q4 2024</t>
  </si>
  <si>
    <t>ACTIVE TABLE FOR SELECTED</t>
  </si>
  <si>
    <t>October</t>
  </si>
  <si>
    <t>November</t>
  </si>
  <si>
    <t>December</t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</si>
  <si>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</si>
  <si>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</si>
  <si>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</si>
  <si>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</si>
  <si>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</si>
  <si>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</si>
  <si>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</si>
  <si>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</si>
  <si>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</si>
  <si>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</si>
  <si>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</si>
  <si>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</si>
  <si>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</si>
  <si>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</si>
  <si>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</si>
  <si>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</si>
  <si>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</si>
  <si>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</si>
  <si>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</si>
  <si>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</si>
  <si>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</si>
  <si>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</si>
  <si>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</si>
  <si>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</si>
  <si>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</si>
  <si>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</si>
  <si>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</si>
  <si>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</si>
  <si>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</si>
  <si>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</si>
  <si>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</si>
  <si>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</si>
  <si>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</si>
  <si>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</si>
  <si>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</si>
  <si>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</si>
  <si>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</si>
  <si>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KPI Overview</t>
  </si>
  <si>
    <t>Revenue Compared per year</t>
  </si>
  <si>
    <t>New Customers per year</t>
  </si>
  <si>
    <t>Revenue Actual VS Target</t>
  </si>
  <si>
    <t>New customers Actual VS Target</t>
  </si>
  <si>
    <t>Actual
Revenue</t>
  </si>
  <si>
    <t>Actual
New Customers</t>
  </si>
  <si>
    <t>Target
Revenue</t>
  </si>
  <si>
    <t>Target New Customers</t>
  </si>
  <si>
    <t>Target
Achievement</t>
  </si>
  <si>
    <t>Average Revenue Per Year</t>
  </si>
  <si>
    <t>Customer Acquisition costs per year</t>
  </si>
  <si>
    <t xml:space="preserve">Avg. Revenue per Customer </t>
  </si>
  <si>
    <t>Customer Acquisition Cost</t>
  </si>
  <si>
    <t>Actual
Revenue Per Customer</t>
  </si>
  <si>
    <t>Actual
CAC</t>
  </si>
  <si>
    <t>Target Revnue Per Customer</t>
  </si>
  <si>
    <t>Target
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</si>
</sst>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;[Red]&quot;$&quot;#,##0"/>
  </numFmts>
  <fonts count="2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Bahnschrift"/>
    </font>
    <font>
      <b/>
      <sz val="14"/>
      <color theme="1"/>
      <name val="Bahnschrift"/>
    </font>
    <font>
      <sz val="11"/>
      <name val="Calibri"/>
    </font>
    <font>
      <sz val="14"/>
      <color theme="1"/>
      <name val="Calibri"/>
    </font>
    <font>
      <sz val="14"/>
      <color theme="1"/>
      <name val="Bahnschrift"/>
    </font>
    <font>
      <sz val="16"/>
      <color theme="1"/>
      <name val="Calibri"/>
    </font>
    <font>
      <sz val="22"/>
      <color theme="1"/>
      <name val="Bahnschrift"/>
    </font>
    <font>
      <sz val="22"/>
      <color rgb="FF000000"/>
      <name val="Arial"/>
    </font>
    <font>
      <b/>
      <sz val="14"/>
      <color theme="1"/>
      <name val="Calibri"/>
    </font>
    <font>
      <b/>
      <sz val="11"/>
      <color rgb="FF595959"/>
      <name val="Bahnschrift"/>
    </font>
    <font>
      <sz val="16"/>
      <color rgb="FF595959"/>
      <name val="Bahnschrift"/>
    </font>
    <font>
      <b/>
      <sz val="10"/>
      <color rgb="FF595959"/>
      <name val="Bahnschrift"/>
    </font>
    <font>
      <sz val="10"/>
      <color theme="1"/>
      <name val="Calibri"/>
    </font>
    <font>
      <sz val="14"/>
      <color theme="1"/>
      <name val="Bahnschrift"/>
      <family val="2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0070C0"/>
      <name val="Cambria"/>
      <family val="1"/>
    </font>
    <font>
      <sz val="14"/>
      <color theme="1"/>
      <name val="Abadi"/>
      <family val="2"/>
    </font>
    <font>
      <sz val="11"/>
      <color theme="1"/>
      <name val="Abadi"/>
      <family val="2"/>
    </font>
    <font>
      <b/>
      <sz val="14"/>
      <color theme="1"/>
      <name val="Abadi"/>
      <family val="2"/>
    </font>
    <font>
      <b/>
      <sz val="16"/>
      <color theme="8"/>
      <name val="Bahnschrift"/>
      <family val="2"/>
    </font>
    <font>
      <sz val="12"/>
      <color theme="1"/>
      <name val="Abadi"/>
      <family val="2"/>
    </font>
    <font>
      <b/>
      <sz val="12"/>
      <color theme="1"/>
      <name val="Abadi"/>
      <family val="2"/>
    </font>
    <font>
      <b/>
      <sz val="16"/>
      <color theme="1"/>
      <name val="Cambria"/>
      <family val="1"/>
    </font>
    <font>
      <sz val="16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7ED2DB"/>
        <bgColor rgb="FF7ED2DB"/>
      </patternFill>
    </fill>
    <fill>
      <patternFill patternType="solid">
        <fgColor rgb="FFF2F2F2"/>
        <bgColor rgb="FFF2F2F2"/>
      </patternFill>
    </fill>
    <fill>
      <patternFill patternType="solid">
        <fgColor rgb="FFDF726E"/>
        <bgColor rgb="FFDF726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5" borderId="1" xfId="0" applyFont="1" applyFill="1" applyBorder="1"/>
    <xf numFmtId="0" fontId="9" fillId="0" borderId="0" xfId="0" applyFont="1"/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/>
    <xf numFmtId="0" fontId="11" fillId="9" borderId="1" xfId="0" applyFont="1" applyFill="1" applyBorder="1" applyAlignment="1">
      <alignment vertical="center"/>
    </xf>
    <xf numFmtId="6" fontId="12" fillId="9" borderId="1" xfId="0" applyNumberFormat="1" applyFont="1" applyFill="1" applyBorder="1" applyAlignment="1">
      <alignment horizontal="right" vertical="center" wrapText="1"/>
    </xf>
    <xf numFmtId="0" fontId="13" fillId="9" borderId="1" xfId="0" applyFont="1" applyFill="1" applyBorder="1" applyAlignment="1">
      <alignment vertical="center" wrapText="1"/>
    </xf>
    <xf numFmtId="164" fontId="12" fillId="9" borderId="1" xfId="0" applyNumberFormat="1" applyFont="1" applyFill="1" applyBorder="1" applyAlignment="1">
      <alignment horizontal="right" vertical="center" wrapText="1"/>
    </xf>
    <xf numFmtId="9" fontId="12" fillId="9" borderId="1" xfId="0" applyNumberFormat="1" applyFont="1" applyFill="1" applyBorder="1" applyAlignment="1">
      <alignment horizontal="right" vertical="center" wrapText="1"/>
    </xf>
    <xf numFmtId="0" fontId="14" fillId="9" borderId="1" xfId="0" applyFont="1" applyFill="1" applyBorder="1"/>
    <xf numFmtId="6" fontId="11" fillId="9" borderId="1" xfId="0" applyNumberFormat="1" applyFont="1" applyFill="1" applyBorder="1" applyAlignment="1">
      <alignment horizontal="right" vertical="center" wrapText="1"/>
    </xf>
    <xf numFmtId="0" fontId="11" fillId="9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6" fontId="6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8" fontId="6" fillId="3" borderId="1" xfId="0" applyNumberFormat="1" applyFont="1" applyFill="1" applyBorder="1" applyAlignment="1">
      <alignment horizontal="center" vertical="center" wrapText="1"/>
    </xf>
    <xf numFmtId="8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5" fillId="0" borderId="1" xfId="0" applyFont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0" xfId="0" applyFont="1"/>
    <xf numFmtId="0" fontId="17" fillId="0" borderId="1" xfId="0" applyFont="1" applyBorder="1" applyAlignment="1">
      <alignment vertical="center" wrapText="1"/>
    </xf>
    <xf numFmtId="0" fontId="17" fillId="0" borderId="0" xfId="0" applyFont="1"/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0" xfId="0" applyFont="1"/>
    <xf numFmtId="8" fontId="17" fillId="2" borderId="14" xfId="0" applyNumberFormat="1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vertical="center" wrapText="1"/>
    </xf>
    <xf numFmtId="6" fontId="19" fillId="3" borderId="15" xfId="0" applyNumberFormat="1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vertical="center" wrapText="1"/>
    </xf>
    <xf numFmtId="0" fontId="21" fillId="2" borderId="17" xfId="0" applyFont="1" applyFill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3" fillId="0" borderId="15" xfId="0" applyFont="1" applyBorder="1" applyAlignment="1">
      <alignment vertical="center"/>
    </xf>
    <xf numFmtId="0" fontId="23" fillId="0" borderId="15" xfId="0" applyFont="1" applyBorder="1" applyAlignment="1">
      <alignment vertical="center" wrapText="1"/>
    </xf>
    <xf numFmtId="8" fontId="23" fillId="0" borderId="15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vertical="center"/>
    </xf>
    <xf numFmtId="0" fontId="23" fillId="0" borderId="16" xfId="0" applyFont="1" applyBorder="1" applyAlignment="1">
      <alignment vertical="center" wrapText="1"/>
    </xf>
    <xf numFmtId="3" fontId="23" fillId="0" borderId="16" xfId="0" applyNumberFormat="1" applyFont="1" applyBorder="1" applyAlignment="1">
      <alignment horizontal="center" vertical="center" wrapText="1"/>
    </xf>
    <xf numFmtId="0" fontId="23" fillId="0" borderId="17" xfId="0" applyFont="1" applyBorder="1" applyAlignment="1">
      <alignment vertical="center"/>
    </xf>
    <xf numFmtId="0" fontId="23" fillId="0" borderId="17" xfId="0" applyFont="1" applyBorder="1" applyAlignment="1">
      <alignment vertical="center" wrapText="1"/>
    </xf>
    <xf numFmtId="8" fontId="23" fillId="0" borderId="17" xfId="0" applyNumberFormat="1" applyFont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8" fontId="23" fillId="3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8" fontId="24" fillId="3" borderId="1" xfId="0" applyNumberFormat="1" applyFont="1" applyFill="1" applyBorder="1" applyAlignment="1">
      <alignment horizontal="center" vertical="center" wrapText="1"/>
    </xf>
    <xf numFmtId="8" fontId="23" fillId="3" borderId="16" xfId="0" applyNumberFormat="1" applyFont="1" applyFill="1" applyBorder="1" applyAlignment="1">
      <alignment horizontal="center" vertical="center" wrapText="1"/>
    </xf>
    <xf numFmtId="8" fontId="24" fillId="3" borderId="14" xfId="0" applyNumberFormat="1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vertical="center" wrapText="1"/>
    </xf>
    <xf numFmtId="8" fontId="23" fillId="3" borderId="15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0" borderId="1" xfId="0" applyFont="1" applyBorder="1"/>
    <xf numFmtId="0" fontId="8" fillId="6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0" fillId="7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10" fillId="8" borderId="5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0" fillId="11" borderId="8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vertical="center" wrapText="1"/>
    </xf>
    <xf numFmtId="2" fontId="17" fillId="2" borderId="14" xfId="0" applyNumberFormat="1" applyFont="1" applyFill="1" applyBorder="1" applyAlignment="1">
      <alignment horizontal="center" vertical="center" wrapText="1"/>
    </xf>
    <xf numFmtId="2" fontId="19" fillId="3" borderId="15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vertical="center" wrapText="1"/>
    </xf>
    <xf numFmtId="2" fontId="7" fillId="0" borderId="1" xfId="0" applyNumberFormat="1" applyFont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7" fillId="4" borderId="14" xfId="0" applyNumberFormat="1" applyFont="1" applyFill="1" applyBorder="1" applyAlignment="1">
      <alignment horizontal="center" vertical="center" wrapText="1"/>
    </xf>
    <xf numFmtId="2" fontId="23" fillId="3" borderId="16" xfId="0" applyNumberFormat="1" applyFont="1" applyFill="1" applyBorder="1" applyAlignment="1">
      <alignment horizontal="center" vertical="center" wrapText="1"/>
    </xf>
    <xf numFmtId="2" fontId="24" fillId="3" borderId="14" xfId="0" applyNumberFormat="1" applyFont="1" applyFill="1" applyBorder="1" applyAlignment="1">
      <alignment horizontal="center" vertical="center" wrapText="1"/>
    </xf>
    <xf numFmtId="2" fontId="23" fillId="3" borderId="15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Revenue compared  to previous year</a:t>
            </a:r>
          </a:p>
        </c:rich>
      </c:tx>
      <c:layout>
        <c:manualLayout>
          <c:xMode val="edge"/>
          <c:yMode val="edge"/>
          <c:x val="0.21995305164319248"/>
          <c:y val="5.5E-2"/>
        </c:manualLayout>
      </c:layout>
      <c:overlay val="0"/>
    </c:title>
    <c:autoTitleDeleted val="0"/>
    <c:plotArea>
      <c:layout>
        <c:manualLayout>
          <c:xMode val="edge"/>
          <c:yMode val="edge"/>
          <c:x val="0.18605280683198183"/>
          <c:y val="0.12076965731396251"/>
          <c:w val="0.77208552055992996"/>
          <c:h val="0.6976607304404910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DATA!$F$7:$H$7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DATA!$C$14:$E$14</c:f>
              <c:numCache>
                <c:formatCode>"$"#,##0.00_);[Red]\("$"#,##0.00\)</c:formatCode>
                <c:ptCount val="3"/>
                <c:pt idx="0">
                  <c:v>700000</c:v>
                </c:pt>
                <c:pt idx="1">
                  <c:v>715000</c:v>
                </c:pt>
                <c:pt idx="2">
                  <c:v>770000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ED-4930-AB63-CFE70F036EF7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DATA!$F$7:$H$7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DATA!$F$14:$H$14</c:f>
              <c:numCache>
                <c:formatCode>"$"#,##0.00_);[Red]\("$"#,##0.00\)</c:formatCode>
                <c:ptCount val="3"/>
                <c:pt idx="0">
                  <c:v>825000</c:v>
                </c:pt>
                <c:pt idx="1">
                  <c:v>775000</c:v>
                </c:pt>
                <c:pt idx="2">
                  <c:v>725000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ED-4930-AB63-CFE70F036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5806664"/>
        <c:axId val="2056169509"/>
      </c:barChart>
      <c:catAx>
        <c:axId val="1805806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6169509"/>
        <c:crosses val="autoZero"/>
        <c:auto val="1"/>
        <c:lblAlgn val="ctr"/>
        <c:lblOffset val="100"/>
        <c:noMultiLvlLbl val="1"/>
      </c:catAx>
      <c:valAx>
        <c:axId val="2056169509"/>
        <c:scaling>
          <c:orientation val="minMax"/>
          <c:max val="1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 rot="-6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580666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600" b="1" i="0">
                <a:solidFill>
                  <a:srgbClr val="757575"/>
                </a:solidFill>
                <a:latin typeface="+mn-lt"/>
              </a:rPr>
              <a:t>New Cumstomers compared to previous
</a:t>
            </a:r>
          </a:p>
        </c:rich>
      </c:tx>
      <c:layout>
        <c:manualLayout>
          <c:xMode val="edge"/>
          <c:yMode val="edge"/>
          <c:x val="0.21365314629788923"/>
          <c:y val="9.0808742365148295E-3"/>
        </c:manualLayout>
      </c:layout>
      <c:overlay val="0"/>
    </c:title>
    <c:autoTitleDeleted val="0"/>
    <c:plotArea>
      <c:layout>
        <c:manualLayout>
          <c:xMode val="edge"/>
          <c:yMode val="edge"/>
          <c:x val="0.11531714785651793"/>
          <c:y val="7.407407407407407E-2"/>
          <c:w val="0.84023840769903757"/>
          <c:h val="0.7474291706527338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DATA!$U$7:$W$7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DATA!$R$14:$T$14</c:f>
              <c:numCache>
                <c:formatCode>0.00</c:formatCode>
                <c:ptCount val="3"/>
                <c:pt idx="0">
                  <c:v>108</c:v>
                </c:pt>
                <c:pt idx="1">
                  <c:v>87</c:v>
                </c:pt>
                <c:pt idx="2">
                  <c:v>114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60-4650-A3A9-17300E8FC1A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DATA!$U$7:$W$7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DATA!$U$14:$W$14</c:f>
              <c:numCache>
                <c:formatCode>0.00</c:formatCode>
                <c:ptCount val="3"/>
                <c:pt idx="0">
                  <c:v>97</c:v>
                </c:pt>
                <c:pt idx="1">
                  <c:v>96</c:v>
                </c:pt>
                <c:pt idx="2">
                  <c:v>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60-4650-A3A9-17300E8FC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316270"/>
        <c:axId val="1095252179"/>
      </c:barChart>
      <c:catAx>
        <c:axId val="2046316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5252179"/>
        <c:crosses val="autoZero"/>
        <c:auto val="1"/>
        <c:lblAlgn val="ctr"/>
        <c:lblOffset val="100"/>
        <c:noMultiLvlLbl val="1"/>
      </c:catAx>
      <c:valAx>
        <c:axId val="1095252179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_);[Red]\(#,##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63162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0" i="0">
                <a:solidFill>
                  <a:srgbClr val="757575"/>
                </a:solidFill>
                <a:latin typeface="+mn-lt"/>
              </a:defRPr>
            </a:pPr>
            <a:r>
              <a:rPr lang="en-IN" sz="1200" b="0" i="0">
                <a:solidFill>
                  <a:srgbClr val="757575"/>
                </a:solidFill>
                <a:latin typeface="+mn-lt"/>
              </a:rPr>
              <a:t>Average Revenue Per Cust. compared to
 previous  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5699177024158537"/>
          <c:y val="0.18191634136153334"/>
          <c:w val="0.79538561073604341"/>
          <c:h val="0.59937988971495193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DATA!$AJ$14:$AL$14</c:f>
              <c:numCache>
                <c:formatCode>"$"#,##0.00_);[Red]\("$"#,##0.00\)</c:formatCode>
                <c:ptCount val="3"/>
                <c:pt idx="0">
                  <c:v>2019.4880000000001</c:v>
                </c:pt>
                <c:pt idx="1">
                  <c:v>1968.5919999999999</c:v>
                </c:pt>
                <c:pt idx="2">
                  <c:v>1972.2139999999999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9B-43EC-B37B-E5449F9633FC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DATA!$AM$14:$AO$14</c:f>
              <c:numCache>
                <c:formatCode>"$"#,##0.00_);[Red]\("$"#,##0.00\)</c:formatCode>
                <c:ptCount val="3"/>
                <c:pt idx="0">
                  <c:v>2200</c:v>
                </c:pt>
                <c:pt idx="1">
                  <c:v>2520</c:v>
                </c:pt>
                <c:pt idx="2">
                  <c:v>2540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9B-43EC-B37B-E5449F963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5114484"/>
        <c:axId val="1412484875"/>
      </c:barChart>
      <c:catAx>
        <c:axId val="1175114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484875"/>
        <c:crosses val="autoZero"/>
        <c:auto val="1"/>
        <c:lblAlgn val="ctr"/>
        <c:lblOffset val="100"/>
        <c:noMultiLvlLbl val="1"/>
      </c:catAx>
      <c:valAx>
        <c:axId val="1412484875"/>
        <c:scaling>
          <c:orientation val="minMax"/>
          <c:max val="40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5114484"/>
        <c:crosses val="autoZero"/>
        <c:crossBetween val="between"/>
        <c:majorUnit val="1000"/>
      </c:valAx>
    </c:plotArea>
    <c:legend>
      <c:legendPos val="r"/>
      <c:layout>
        <c:manualLayout>
          <c:xMode val="edge"/>
          <c:yMode val="edge"/>
          <c:x val="0.18356329474072891"/>
          <c:y val="0.84815486993345435"/>
          <c:w val="0.72492564043202701"/>
          <c:h val="0.1555519431038862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Customer Acquisition costs comp. to prev.year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738135839135978"/>
          <c:y val="0.12639535828228213"/>
          <c:w val="0.84025644738637539"/>
          <c:h val="0.6880901516327362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DATA!$AA$7:$AC$7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DATA!$AA$14:$AC$14</c:f>
              <c:numCache>
                <c:formatCode>"$"#,##0.00_);[Red]\("$"#,##0.00\)</c:formatCode>
                <c:ptCount val="3"/>
                <c:pt idx="0">
                  <c:v>316.56799999999998</c:v>
                </c:pt>
                <c:pt idx="1">
                  <c:v>446.64399999999995</c:v>
                </c:pt>
                <c:pt idx="2">
                  <c:v>353.12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02-41E8-BED1-69DF411776D4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DATA!$AA$7:$AC$7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DATA!$AG$14:$AI$14</c:f>
              <c:numCache>
                <c:formatCode>"$"#,##0.00_);[Red]\("$"#,##0.00\)</c:formatCode>
                <c:ptCount val="3"/>
                <c:pt idx="0">
                  <c:v>374.6</c:v>
                </c:pt>
                <c:pt idx="1">
                  <c:v>378</c:v>
                </c:pt>
                <c:pt idx="2">
                  <c:v>385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602-41E8-BED1-69DF4117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919169"/>
        <c:axId val="1230771962"/>
      </c:barChart>
      <c:catAx>
        <c:axId val="1341919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0771962"/>
        <c:crosses val="autoZero"/>
        <c:auto val="1"/>
        <c:lblAlgn val="ctr"/>
        <c:lblOffset val="100"/>
        <c:noMultiLvlLbl val="1"/>
      </c:catAx>
      <c:valAx>
        <c:axId val="1230771962"/>
        <c:scaling>
          <c:orientation val="minMax"/>
          <c:max val="6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1919169"/>
        <c:crosses val="autoZero"/>
        <c:crossBetween val="between"/>
        <c:majorUnit val="100"/>
        <c:minorUnit val="2"/>
      </c:valAx>
    </c:plotArea>
    <c:legend>
      <c:legendPos val="r"/>
      <c:layout>
        <c:manualLayout>
          <c:xMode val="edge"/>
          <c:yMode val="edge"/>
          <c:x val="0.26578902269569249"/>
          <c:y val="0.91467542590873918"/>
        </c:manualLayout>
      </c:layout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1181100</xdr:colOff>
      <xdr:row>3</xdr:row>
      <xdr:rowOff>114300</xdr:rowOff>
    </xdr:from>
    <xdr:ext cx="3857625" cy="2733675"/>
    <xdr:graphicFrame macro="">
      <xdr:nvGraphicFramePr>
        <xdr:cNvPr id="440490215" name="Chart 1" descr="vdfv&#10;">
          <a:extLst>
            <a:ext uri="{FF2B5EF4-FFF2-40B4-BE49-F238E27FC236}">
              <a16:creationId xmlns:a16="http://schemas.microsoft.com/office/drawing/2014/main" id="{00000000-0008-0000-0100-0000E7584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1066800</xdr:colOff>
      <xdr:row>3</xdr:row>
      <xdr:rowOff>85725</xdr:rowOff>
    </xdr:from>
    <xdr:ext cx="3743325" cy="2790825"/>
    <xdr:graphicFrame macro="">
      <xdr:nvGraphicFramePr>
        <xdr:cNvPr id="1944029326" name="Chart 2">
          <a:extLst>
            <a:ext uri="{FF2B5EF4-FFF2-40B4-BE49-F238E27FC236}">
              <a16:creationId xmlns:a16="http://schemas.microsoft.com/office/drawing/2014/main" id="{00000000-0008-0000-0100-00008E88D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1304925</xdr:colOff>
      <xdr:row>19</xdr:row>
      <xdr:rowOff>76200</xdr:rowOff>
    </xdr:from>
    <xdr:ext cx="3781426" cy="2952750"/>
    <xdr:graphicFrame macro="">
      <xdr:nvGraphicFramePr>
        <xdr:cNvPr id="653455794" name="Chart 3">
          <a:extLst>
            <a:ext uri="{FF2B5EF4-FFF2-40B4-BE49-F238E27FC236}">
              <a16:creationId xmlns:a16="http://schemas.microsoft.com/office/drawing/2014/main" id="{00000000-0008-0000-0100-0000B2F1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95250</xdr:rowOff>
    </xdr:from>
    <xdr:ext cx="3790950" cy="2905125"/>
    <xdr:graphicFrame macro="">
      <xdr:nvGraphicFramePr>
        <xdr:cNvPr id="135739941" name="Chart 4">
          <a:extLst>
            <a:ext uri="{FF2B5EF4-FFF2-40B4-BE49-F238E27FC236}">
              <a16:creationId xmlns:a16="http://schemas.microsoft.com/office/drawing/2014/main" id="{00000000-0008-0000-0100-0000253A1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98"/>
  <sheetViews>
    <sheetView topLeftCell="B50" workbookViewId="0">
      <selection activeCell="C7" sqref="C7"/>
    </sheetView>
  </sheetViews>
  <sheetFormatPr defaultColWidth="14.42578125" defaultRowHeight="15" customHeight="1" x14ac:dyDescent="0.25"/>
  <cols>
    <col min="1" max="1" width="8.7109375" style="21" customWidth="1"/>
    <col min="2" max="2" width="24.85546875" style="21" customWidth="1"/>
    <col min="3" max="3" width="16.42578125" style="21" customWidth="1"/>
    <col min="4" max="4" width="23.28515625" style="21" bestFit="1" customWidth="1"/>
    <col min="5" max="5" width="16.140625" style="21" customWidth="1"/>
    <col min="6" max="8" width="16.42578125" style="21" customWidth="1"/>
    <col min="9" max="11" width="16.140625" style="21" customWidth="1"/>
    <col min="12" max="14" width="16.42578125" style="82" customWidth="1"/>
    <col min="15" max="17" width="24.42578125" style="82" customWidth="1"/>
    <col min="18" max="20" width="16.85546875" style="82" customWidth="1"/>
    <col min="21" max="23" width="24.42578125" style="82" customWidth="1"/>
    <col min="24" max="24" width="18.7109375" style="21" customWidth="1"/>
    <col min="25" max="26" width="15.140625" style="21" customWidth="1"/>
    <col min="27" max="29" width="15.85546875" style="21" customWidth="1"/>
    <col min="30" max="32" width="22.5703125" style="21" customWidth="1"/>
    <col min="33" max="35" width="25.28515625" style="21" customWidth="1"/>
    <col min="36" max="36" width="15.140625" style="21" customWidth="1"/>
    <col min="37" max="37" width="17" style="21" customWidth="1"/>
    <col min="38" max="38" width="17.42578125" style="21" customWidth="1"/>
    <col min="39" max="41" width="19.140625" style="21" customWidth="1"/>
    <col min="42" max="44" width="20.85546875" style="21" customWidth="1"/>
  </cols>
  <sheetData>
    <row r="1" spans="1:44" ht="14.25" customHeight="1" x14ac:dyDescent="0.25">
      <c r="A1" s="13"/>
      <c r="B1" s="13"/>
      <c r="C1" s="13"/>
      <c r="D1" s="13"/>
      <c r="E1" s="13"/>
      <c r="F1" s="13"/>
      <c r="G1" s="14" t="s">
        <v>0</v>
      </c>
      <c r="H1" s="23" t="s">
        <v>1</v>
      </c>
      <c r="I1" s="13"/>
      <c r="J1" s="13"/>
      <c r="K1" s="13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4.25" customHeight="1" x14ac:dyDescent="0.25">
      <c r="A2" s="13"/>
      <c r="B2" s="13"/>
      <c r="C2" s="13"/>
      <c r="D2" s="13"/>
      <c r="E2" s="13"/>
      <c r="F2" s="13"/>
      <c r="G2" s="13"/>
      <c r="H2" s="23" t="s">
        <v>2</v>
      </c>
      <c r="I2" s="13"/>
      <c r="J2" s="13"/>
      <c r="K2" s="13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14.25" customHeight="1" x14ac:dyDescent="0.25">
      <c r="A3" s="13"/>
      <c r="B3" s="13"/>
      <c r="C3" s="13"/>
      <c r="D3" s="13"/>
      <c r="E3" s="13"/>
      <c r="F3" s="13"/>
      <c r="G3" s="13"/>
      <c r="H3" s="23" t="s">
        <v>3</v>
      </c>
      <c r="I3" s="13"/>
      <c r="J3" s="13"/>
      <c r="K3" s="13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ht="14.25" customHeight="1" x14ac:dyDescent="0.25">
      <c r="A4" s="13"/>
      <c r="B4" s="13"/>
      <c r="C4" s="13"/>
      <c r="D4" s="13"/>
      <c r="E4" s="13"/>
      <c r="F4" s="13"/>
      <c r="G4" s="13"/>
      <c r="H4" s="23" t="s">
        <v>4</v>
      </c>
      <c r="I4" s="13"/>
      <c r="J4" s="13"/>
      <c r="K4" s="13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9.5" x14ac:dyDescent="0.25">
      <c r="A5" s="13"/>
      <c r="B5" s="22" t="s">
        <v>5</v>
      </c>
      <c r="C5" s="13"/>
      <c r="D5" s="13"/>
      <c r="E5" s="36" t="str">
        <f>DASHBOARD!D2</f>
        <v>Q4 2024</v>
      </c>
      <c r="F5" s="13"/>
      <c r="G5" s="13"/>
      <c r="H5" s="13"/>
      <c r="I5" s="13"/>
      <c r="J5" s="13"/>
      <c r="K5" s="13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ht="21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s="27" customFormat="1" ht="14.25" customHeight="1" x14ac:dyDescent="0.25">
      <c r="A7" s="28"/>
      <c r="B7" s="31"/>
      <c r="C7" s="31" t="str" cm="1">
        <f t="array" ref="C7:AR7">_xlfn.SWITCH($E$5,$H$1,C26:AR26,$H$2,C37:AR37,$H$3,C48:AR48,$H$4,C59:AR59)</f>
        <v>October</v>
      </c>
      <c r="D7" s="31" t="str">
        <v>November</v>
      </c>
      <c r="E7" s="31" t="str">
        <v>December</v>
      </c>
      <c r="F7" s="31" t="str">
        <v>October</v>
      </c>
      <c r="G7" s="31" t="str">
        <v>November</v>
      </c>
      <c r="H7" s="31" t="str">
        <v>December</v>
      </c>
      <c r="I7" s="31" t="str">
        <v>October</v>
      </c>
      <c r="J7" s="31" t="str">
        <v>November</v>
      </c>
      <c r="K7" s="31" t="str">
        <v>December</v>
      </c>
      <c r="L7" s="73" t="str">
        <v>October</v>
      </c>
      <c r="M7" s="73" t="str">
        <v>November</v>
      </c>
      <c r="N7" s="73" t="str">
        <v>December</v>
      </c>
      <c r="O7" s="73" t="str">
        <v>October</v>
      </c>
      <c r="P7" s="73" t="str">
        <v>November</v>
      </c>
      <c r="Q7" s="73" t="str">
        <v>December</v>
      </c>
      <c r="R7" s="73" t="str">
        <v>October</v>
      </c>
      <c r="S7" s="73" t="str">
        <v>November</v>
      </c>
      <c r="T7" s="73" t="str">
        <v>December</v>
      </c>
      <c r="U7" s="73" t="str">
        <v>October</v>
      </c>
      <c r="V7" s="73" t="str">
        <v>November</v>
      </c>
      <c r="W7" s="73" t="str">
        <v>December</v>
      </c>
      <c r="X7" s="31" t="str">
        <v>October</v>
      </c>
      <c r="Y7" s="31" t="str">
        <v>November</v>
      </c>
      <c r="Z7" s="31" t="str">
        <v>December</v>
      </c>
      <c r="AA7" s="31" t="str">
        <v>October</v>
      </c>
      <c r="AB7" s="31" t="str">
        <v>November</v>
      </c>
      <c r="AC7" s="31" t="str">
        <v>December</v>
      </c>
      <c r="AD7" s="31" t="str">
        <v>October</v>
      </c>
      <c r="AE7" s="31" t="str">
        <v>November</v>
      </c>
      <c r="AF7" s="31" t="str">
        <v>December</v>
      </c>
      <c r="AG7" s="31" t="str">
        <v>October</v>
      </c>
      <c r="AH7" s="31" t="str">
        <v>November</v>
      </c>
      <c r="AI7" s="31" t="str">
        <v>December</v>
      </c>
      <c r="AJ7" s="31" t="str">
        <v>October</v>
      </c>
      <c r="AK7" s="31" t="str">
        <v>November</v>
      </c>
      <c r="AL7" s="31" t="str">
        <v>December</v>
      </c>
      <c r="AM7" s="31" t="str">
        <v>October</v>
      </c>
      <c r="AN7" s="31" t="str">
        <v>November</v>
      </c>
      <c r="AO7" s="31" t="str">
        <v>December</v>
      </c>
      <c r="AP7" s="31" t="str">
        <v>October</v>
      </c>
      <c r="AQ7" s="31" t="str">
        <v>November</v>
      </c>
      <c r="AR7" s="31" t="str">
        <v>December</v>
      </c>
    </row>
    <row r="8" spans="1:44" s="27" customFormat="1" ht="45" customHeight="1" x14ac:dyDescent="0.25">
      <c r="A8" s="28"/>
      <c r="B8" s="31"/>
      <c r="C8" s="31" t="s">
        <v>9</v>
      </c>
      <c r="D8" s="31" t="s">
        <v>9</v>
      </c>
      <c r="E8" s="31" t="s">
        <v>9</v>
      </c>
      <c r="F8" s="31" t="s">
        <v>10</v>
      </c>
      <c r="G8" s="31" t="s">
        <v>10</v>
      </c>
      <c r="H8" s="31" t="s">
        <v>10</v>
      </c>
      <c r="I8" s="31" t="s">
        <v>11</v>
      </c>
      <c r="J8" s="31" t="s">
        <v>11</v>
      </c>
      <c r="K8" s="31" t="s">
        <v>11</v>
      </c>
      <c r="L8" s="73" t="s">
        <v>12</v>
      </c>
      <c r="M8" s="73" t="s">
        <v>12</v>
      </c>
      <c r="N8" s="73" t="s">
        <v>12</v>
      </c>
      <c r="O8" s="73" t="s">
        <v>13</v>
      </c>
      <c r="P8" s="73" t="s">
        <v>13</v>
      </c>
      <c r="Q8" s="73" t="s">
        <v>13</v>
      </c>
      <c r="R8" s="73" t="s">
        <v>14</v>
      </c>
      <c r="S8" s="73" t="s">
        <v>14</v>
      </c>
      <c r="T8" s="73" t="s">
        <v>14</v>
      </c>
      <c r="U8" s="73" t="s">
        <v>15</v>
      </c>
      <c r="V8" s="73" t="s">
        <v>15</v>
      </c>
      <c r="W8" s="73" t="s">
        <v>15</v>
      </c>
      <c r="X8" s="31" t="s">
        <v>16</v>
      </c>
      <c r="Y8" s="31" t="s">
        <v>16</v>
      </c>
      <c r="Z8" s="31" t="s">
        <v>16</v>
      </c>
      <c r="AA8" s="31" t="s">
        <v>17</v>
      </c>
      <c r="AB8" s="31" t="s">
        <v>17</v>
      </c>
      <c r="AC8" s="31" t="s">
        <v>17</v>
      </c>
      <c r="AD8" s="31" t="s">
        <v>18</v>
      </c>
      <c r="AE8" s="31" t="s">
        <v>18</v>
      </c>
      <c r="AF8" s="31" t="s">
        <v>18</v>
      </c>
      <c r="AG8" s="31" t="s">
        <v>19</v>
      </c>
      <c r="AH8" s="31" t="s">
        <v>19</v>
      </c>
      <c r="AI8" s="31" t="s">
        <v>19</v>
      </c>
      <c r="AJ8" s="31" t="s">
        <v>20</v>
      </c>
      <c r="AK8" s="31" t="s">
        <v>20</v>
      </c>
      <c r="AL8" s="31" t="s">
        <v>20</v>
      </c>
      <c r="AM8" s="31" t="s">
        <v>21</v>
      </c>
      <c r="AN8" s="31" t="s">
        <v>21</v>
      </c>
      <c r="AO8" s="31" t="s">
        <v>21</v>
      </c>
      <c r="AP8" s="31" t="s">
        <v>22</v>
      </c>
      <c r="AQ8" s="31" t="s">
        <v>22</v>
      </c>
      <c r="AR8" s="31" t="s">
        <v>22</v>
      </c>
    </row>
    <row r="9" spans="1:44" s="30" customFormat="1" ht="14.25" customHeight="1" x14ac:dyDescent="0.25">
      <c r="A9" s="29"/>
      <c r="B9" s="32" t="s">
        <v>23</v>
      </c>
      <c r="C9" s="33" cm="1">
        <f t="array" ref="C9">_xlfn.SWITCH($E$5,$H$1,C28,$H$2,C39,$H$3,C50,$H$4,C61)</f>
        <v>145000</v>
      </c>
      <c r="D9" s="33" cm="1">
        <f t="array" ref="D9">_xlfn.SWITCH($E$5,$H$1,D28,$H$2,D39,$H$3,D50,$H$4,D61)</f>
        <v>150000</v>
      </c>
      <c r="E9" s="33" cm="1">
        <f t="array" ref="E9">_xlfn.SWITCH($E$5,$H$1,E28,$H$2,E39,$H$3,E50,$H$4,E61)</f>
        <v>150000</v>
      </c>
      <c r="F9" s="33" cm="1">
        <f t="array" ref="F9">_xlfn.SWITCH($E$5,$H$1,F28,$H$2,F39,$H$3,F50,$H$4,F61)</f>
        <v>165000</v>
      </c>
      <c r="G9" s="33" cm="1">
        <f t="array" ref="G9">_xlfn.SWITCH($E$5,$H$1,G28,$H$2,G39,$H$3,G50,$H$4,G61)</f>
        <v>155000</v>
      </c>
      <c r="H9" s="33" cm="1">
        <f t="array" ref="H9">_xlfn.SWITCH($E$5,$H$1,H28,$H$2,H39,$H$3,H50,$H$4,H61)</f>
        <v>145000</v>
      </c>
      <c r="I9" s="33" cm="1">
        <f t="array" ref="I9">_xlfn.SWITCH($E$5,$H$1,I28,$H$2,I39,$H$3,I50,$H$4,I61)</f>
        <v>155000</v>
      </c>
      <c r="J9" s="33" cm="1">
        <f t="array" ref="J9">_xlfn.SWITCH($E$5,$H$1,J28,$H$2,J39,$H$3,J50,$H$4,J61)</f>
        <v>125000</v>
      </c>
      <c r="K9" s="33" cm="1">
        <f t="array" ref="K9">_xlfn.SWITCH($E$5,$H$1,K28,$H$2,K39,$H$3,K50,$H$4,K61)</f>
        <v>145000</v>
      </c>
      <c r="L9" s="74" cm="1">
        <f t="array" ref="L9">_xlfn.SWITCH($E$5,$H$1,L28,$H$2,L39,$H$3,L50,$H$4,L61)</f>
        <v>75</v>
      </c>
      <c r="M9" s="74" cm="1">
        <f t="array" ref="M9">_xlfn.SWITCH($E$5,$H$1,M28,$H$2,M39,$H$3,M50,$H$4,M61)</f>
        <v>76</v>
      </c>
      <c r="N9" s="74" cm="1">
        <f t="array" ref="N9">_xlfn.SWITCH($E$5,$H$1,N28,$H$2,N39,$H$3,N50,$H$4,N61)</f>
        <v>80</v>
      </c>
      <c r="O9" s="74" cm="1">
        <f t="array" ref="O9">_xlfn.SWITCH($E$5,$H$1,O28,$H$2,O39,$H$3,O50,$H$4,O61)</f>
        <v>20</v>
      </c>
      <c r="P9" s="74" cm="1">
        <f t="array" ref="P9">_xlfn.SWITCH($E$5,$H$1,P28,$H$2,P39,$H$3,P50,$H$4,P61)</f>
        <v>20</v>
      </c>
      <c r="Q9" s="74" cm="1">
        <f t="array" ref="Q9">_xlfn.SWITCH($E$5,$H$1,Q28,$H$2,Q39,$H$3,Q50,$H$4,Q61)</f>
        <v>20</v>
      </c>
      <c r="R9" s="74" cm="1">
        <f t="array" ref="R9">_xlfn.SWITCH($E$5,$H$1,R28,$H$2,R39,$H$3,R50,$H$4,R61)</f>
        <v>15</v>
      </c>
      <c r="S9" s="74" cm="1">
        <f t="array" ref="S9">_xlfn.SWITCH($E$5,$H$1,S28,$H$2,S39,$H$3,S50,$H$4,S61)</f>
        <v>22</v>
      </c>
      <c r="T9" s="74" cm="1">
        <f t="array" ref="T9">_xlfn.SWITCH($E$5,$H$1,T28,$H$2,T39,$H$3,T50,$H$4,T61)</f>
        <v>25</v>
      </c>
      <c r="U9" s="74" cm="1">
        <f t="array" ref="U9">_xlfn.SWITCH($E$5,$H$1,U28,$H$2,U39,$H$3,U50,$H$4,U61)</f>
        <v>21</v>
      </c>
      <c r="V9" s="74" cm="1">
        <f t="array" ref="V9">_xlfn.SWITCH($E$5,$H$1,V28,$H$2,V39,$H$3,V50,$H$4,V61)</f>
        <v>17</v>
      </c>
      <c r="W9" s="74" cm="1">
        <f t="array" ref="W9">_xlfn.SWITCH($E$5,$H$1,W28,$H$2,W39,$H$3,W50,$H$4,W61)</f>
        <v>16</v>
      </c>
      <c r="X9" s="33" cm="1">
        <f t="array" ref="X9">_xlfn.SWITCH($E$5,$H$1,X28,$H$2,X39,$H$3,X50,$H$4,X61)</f>
        <v>4700</v>
      </c>
      <c r="Y9" s="33" cm="1">
        <f t="array" ref="Y9">_xlfn.SWITCH($E$5,$H$1,Y28,$H$2,Y39,$H$3,Y50,$H$4,Y61)</f>
        <v>7000</v>
      </c>
      <c r="Z9" s="33" cm="1">
        <f t="array" ref="Z9">_xlfn.SWITCH($E$5,$H$1,Z28,$H$2,Z39,$H$3,Z50,$H$4,Z61)</f>
        <v>6000</v>
      </c>
      <c r="AA9" s="33" cm="1">
        <f t="array" ref="AA9">_xlfn.SWITCH($E$5,$H$1,AA28,$H$2,AA39,$H$3,AA50,$H$4,AA61)</f>
        <v>313.33</v>
      </c>
      <c r="AB9" s="33" cm="1">
        <f t="array" ref="AB9">_xlfn.SWITCH($E$5,$H$1,AB28,$H$2,AB39,$H$3,AB50,$H$4,AB61)</f>
        <v>318.18</v>
      </c>
      <c r="AC9" s="33" cm="1">
        <f t="array" ref="AC9">_xlfn.SWITCH($E$5,$H$1,AC28,$H$2,AC39,$H$3,AC50,$H$4,AC61)</f>
        <v>240</v>
      </c>
      <c r="AD9" s="33" cm="1">
        <f t="array" ref="AD9">_xlfn.SWITCH($E$5,$H$1,AD28,$H$2,AD39,$H$3,AD50,$H$4,AD61)</f>
        <v>350</v>
      </c>
      <c r="AE9" s="33" cm="1">
        <f t="array" ref="AE9">_xlfn.SWITCH($E$5,$H$1,AE28,$H$2,AE39,$H$3,AE50,$H$4,AE61)</f>
        <v>350</v>
      </c>
      <c r="AF9" s="33" cm="1">
        <f t="array" ref="AF9">_xlfn.SWITCH($E$5,$H$1,AF28,$H$2,AF39,$H$3,AF50,$H$4,AF61)</f>
        <v>300</v>
      </c>
      <c r="AG9" s="33" cm="1">
        <f t="array" ref="AG9">_xlfn.SWITCH($E$5,$H$1,AG28,$H$2,AG39,$H$3,AG50,$H$4,AG61)</f>
        <v>410</v>
      </c>
      <c r="AH9" s="33" cm="1">
        <f t="array" ref="AH9">_xlfn.SWITCH($E$5,$H$1,AH28,$H$2,AH39,$H$3,AH50,$H$4,AH61)</f>
        <v>385</v>
      </c>
      <c r="AI9" s="33" cm="1">
        <f t="array" ref="AI9">_xlfn.SWITCH($E$5,$H$1,AI28,$H$2,AI39,$H$3,AI50,$H$4,AI61)</f>
        <v>390</v>
      </c>
      <c r="AJ9" s="33" cm="1">
        <f t="array" ref="AJ9">_xlfn.SWITCH($E$5,$H$1,AJ28,$H$2,AJ39,$H$3,AJ50,$H$4,AJ61)</f>
        <v>1866.67</v>
      </c>
      <c r="AK9" s="33" cm="1">
        <f t="array" ref="AK9">_xlfn.SWITCH($E$5,$H$1,AK28,$H$2,AK39,$H$3,AK50,$H$4,AK61)</f>
        <v>1973.68</v>
      </c>
      <c r="AL9" s="33" cm="1">
        <f t="array" ref="AL9">_xlfn.SWITCH($E$5,$H$1,AL28,$H$2,AL39,$H$3,AL50,$H$4,AL61)</f>
        <v>1875</v>
      </c>
      <c r="AM9" s="33" cm="1">
        <f t="array" ref="AM9">_xlfn.SWITCH($E$5,$H$1,AM28,$H$2,AM39,$H$3,AM50,$H$4,AM61)</f>
        <v>2500</v>
      </c>
      <c r="AN9" s="33" cm="1">
        <f t="array" ref="AN9">_xlfn.SWITCH($E$5,$H$1,AN28,$H$2,AN39,$H$3,AN50,$H$4,AN61)</f>
        <v>2700</v>
      </c>
      <c r="AO9" s="33" cm="1">
        <f t="array" ref="AO9">_xlfn.SWITCH($E$5,$H$1,AO28,$H$2,AO39,$H$3,AO50,$H$4,AO61)</f>
        <v>2400</v>
      </c>
      <c r="AP9" s="33" cm="1">
        <f t="array" ref="AP9">_xlfn.SWITCH($E$5,$H$1,AP28,$H$2,AP39,$H$3,AP50,$H$4,AP61)</f>
        <v>2450</v>
      </c>
      <c r="AQ9" s="33" cm="1">
        <f t="array" ref="AQ9">_xlfn.SWITCH($E$5,$H$1,AQ28,$H$2,AQ39,$H$3,AQ50,$H$4,AQ61)</f>
        <v>2700</v>
      </c>
      <c r="AR9" s="33" cm="1">
        <f t="array" ref="AR9">_xlfn.SWITCH($E$5,$H$1,AR28,$H$2,AR39,$H$3,AR50,$H$4,AR61)</f>
        <v>2350</v>
      </c>
    </row>
    <row r="10" spans="1:44" s="30" customFormat="1" ht="14.25" customHeight="1" x14ac:dyDescent="0.25">
      <c r="A10" s="29"/>
      <c r="B10" s="34" t="s">
        <v>24</v>
      </c>
      <c r="C10" s="33" cm="1">
        <f t="array" ref="C10">_xlfn.SWITCH($E$5,$H$1,C29,$H$2,C40,$H$3,C51,$H$4,C62)</f>
        <v>115000</v>
      </c>
      <c r="D10" s="33" cm="1">
        <f t="array" ref="D10">_xlfn.SWITCH($E$5,$H$1,D29,$H$2,D40,$H$3,D51,$H$4,D62)</f>
        <v>140000</v>
      </c>
      <c r="E10" s="33" cm="1">
        <f t="array" ref="E10">_xlfn.SWITCH($E$5,$H$1,E29,$H$2,E40,$H$3,E51,$H$4,E62)</f>
        <v>170000</v>
      </c>
      <c r="F10" s="33" cm="1">
        <f t="array" ref="F10">_xlfn.SWITCH($E$5,$H$1,F29,$H$2,F40,$H$3,F51,$H$4,F62)</f>
        <v>165000</v>
      </c>
      <c r="G10" s="33" cm="1">
        <f t="array" ref="G10">_xlfn.SWITCH($E$5,$H$1,G29,$H$2,G40,$H$3,G51,$H$4,G62)</f>
        <v>155000</v>
      </c>
      <c r="H10" s="33" cm="1">
        <f t="array" ref="H10">_xlfn.SWITCH($E$5,$H$1,H29,$H$2,H40,$H$3,H51,$H$4,H62)</f>
        <v>145000</v>
      </c>
      <c r="I10" s="33" cm="1">
        <f t="array" ref="I10">_xlfn.SWITCH($E$5,$H$1,I29,$H$2,I40,$H$3,I51,$H$4,I62)</f>
        <v>140000</v>
      </c>
      <c r="J10" s="33" cm="1">
        <f t="array" ref="J10">_xlfn.SWITCH($E$5,$H$1,J29,$H$2,J40,$H$3,J51,$H$4,J62)</f>
        <v>125000</v>
      </c>
      <c r="K10" s="33" cm="1">
        <f t="array" ref="K10">_xlfn.SWITCH($E$5,$H$1,K29,$H$2,K40,$H$3,K51,$H$4,K62)</f>
        <v>130000</v>
      </c>
      <c r="L10" s="74" cm="1">
        <f t="array" ref="L10">_xlfn.SWITCH($E$5,$H$1,L29,$H$2,L40,$H$3,L51,$H$4,L62)</f>
        <v>65</v>
      </c>
      <c r="M10" s="74" cm="1">
        <f t="array" ref="M10">_xlfn.SWITCH($E$5,$H$1,M29,$H$2,M40,$H$3,M51,$H$4,M62)</f>
        <v>85</v>
      </c>
      <c r="N10" s="74" cm="1">
        <f t="array" ref="N10">_xlfn.SWITCH($E$5,$H$1,N29,$H$2,N40,$H$3,N51,$H$4,N62)</f>
        <v>70</v>
      </c>
      <c r="O10" s="74" cm="1">
        <f t="array" ref="O10">_xlfn.SWITCH($E$5,$H$1,O29,$H$2,O40,$H$3,O51,$H$4,O62)</f>
        <v>20</v>
      </c>
      <c r="P10" s="74" cm="1">
        <f t="array" ref="P10">_xlfn.SWITCH($E$5,$H$1,P29,$H$2,P40,$H$3,P51,$H$4,P62)</f>
        <v>20</v>
      </c>
      <c r="Q10" s="74" cm="1">
        <f t="array" ref="Q10">_xlfn.SWITCH($E$5,$H$1,Q29,$H$2,Q40,$H$3,Q51,$H$4,Q62)</f>
        <v>20</v>
      </c>
      <c r="R10" s="74" cm="1">
        <f t="array" ref="R10">_xlfn.SWITCH($E$5,$H$1,R29,$H$2,R40,$H$3,R51,$H$4,R62)</f>
        <v>25</v>
      </c>
      <c r="S10" s="74" cm="1">
        <f t="array" ref="S10">_xlfn.SWITCH($E$5,$H$1,S29,$H$2,S40,$H$3,S51,$H$4,S62)</f>
        <v>18</v>
      </c>
      <c r="T10" s="74" cm="1">
        <f t="array" ref="T10">_xlfn.SWITCH($E$5,$H$1,T29,$H$2,T40,$H$3,T51,$H$4,T62)</f>
        <v>24</v>
      </c>
      <c r="U10" s="74" cm="1">
        <f t="array" ref="U10">_xlfn.SWITCH($E$5,$H$1,U29,$H$2,U40,$H$3,U51,$H$4,U62)</f>
        <v>16</v>
      </c>
      <c r="V10" s="74" cm="1">
        <f t="array" ref="V10">_xlfn.SWITCH($E$5,$H$1,V29,$H$2,V40,$H$3,V51,$H$4,V62)</f>
        <v>14</v>
      </c>
      <c r="W10" s="74" cm="1">
        <f t="array" ref="W10">_xlfn.SWITCH($E$5,$H$1,W29,$H$2,W40,$H$3,W51,$H$4,W62)</f>
        <v>21</v>
      </c>
      <c r="X10" s="33" cm="1">
        <f t="array" ref="X10">_xlfn.SWITCH($E$5,$H$1,X29,$H$2,X40,$H$3,X51,$H$4,X62)</f>
        <v>6000</v>
      </c>
      <c r="Y10" s="33" cm="1">
        <f t="array" ref="Y10">_xlfn.SWITCH($E$5,$H$1,Y29,$H$2,Y40,$H$3,Y51,$H$4,Y62)</f>
        <v>5000</v>
      </c>
      <c r="Z10" s="33" cm="1">
        <f t="array" ref="Z10">_xlfn.SWITCH($E$5,$H$1,Z29,$H$2,Z40,$H$3,Z51,$H$4,Z62)</f>
        <v>8500</v>
      </c>
      <c r="AA10" s="33" cm="1">
        <f t="array" ref="AA10">_xlfn.SWITCH($E$5,$H$1,AA29,$H$2,AA40,$H$3,AA51,$H$4,AA62)</f>
        <v>240</v>
      </c>
      <c r="AB10" s="33" cm="1">
        <f t="array" ref="AB10">_xlfn.SWITCH($E$5,$H$1,AB29,$H$2,AB40,$H$3,AB51,$H$4,AB62)</f>
        <v>277.77999999999997</v>
      </c>
      <c r="AC10" s="33" cm="1">
        <f t="array" ref="AC10">_xlfn.SWITCH($E$5,$H$1,AC29,$H$2,AC40,$H$3,AC51,$H$4,AC62)</f>
        <v>354.17</v>
      </c>
      <c r="AD10" s="33" cm="1">
        <f t="array" ref="AD10">_xlfn.SWITCH($E$5,$H$1,AD29,$H$2,AD40,$H$3,AD51,$H$4,AD62)</f>
        <v>350</v>
      </c>
      <c r="AE10" s="33" cm="1">
        <f t="array" ref="AE10">_xlfn.SWITCH($E$5,$H$1,AE29,$H$2,AE40,$H$3,AE51,$H$4,AE62)</f>
        <v>350</v>
      </c>
      <c r="AF10" s="33" cm="1">
        <f t="array" ref="AF10">_xlfn.SWITCH($E$5,$H$1,AF29,$H$2,AF40,$H$3,AF51,$H$4,AF62)</f>
        <v>300</v>
      </c>
      <c r="AG10" s="33" cm="1">
        <f t="array" ref="AG10">_xlfn.SWITCH($E$5,$H$1,AG29,$H$2,AG40,$H$3,AG51,$H$4,AG62)</f>
        <v>408</v>
      </c>
      <c r="AH10" s="33" cm="1">
        <f t="array" ref="AH10">_xlfn.SWITCH($E$5,$H$1,AH29,$H$2,AH40,$H$3,AH51,$H$4,AH62)</f>
        <v>350</v>
      </c>
      <c r="AI10" s="33" cm="1">
        <f t="array" ref="AI10">_xlfn.SWITCH($E$5,$H$1,AI29,$H$2,AI40,$H$3,AI51,$H$4,AI62)</f>
        <v>370</v>
      </c>
      <c r="AJ10" s="33" cm="1">
        <f t="array" ref="AJ10">_xlfn.SWITCH($E$5,$H$1,AJ29,$H$2,AJ40,$H$3,AJ51,$H$4,AJ62)</f>
        <v>1769.23</v>
      </c>
      <c r="AK10" s="33" cm="1">
        <f t="array" ref="AK10">_xlfn.SWITCH($E$5,$H$1,AK29,$H$2,AK40,$H$3,AK51,$H$4,AK62)</f>
        <v>1647.06</v>
      </c>
      <c r="AL10" s="33" cm="1">
        <f t="array" ref="AL10">_xlfn.SWITCH($E$5,$H$1,AL29,$H$2,AL40,$H$3,AL51,$H$4,AL62)</f>
        <v>2428.5700000000002</v>
      </c>
      <c r="AM10" s="33" cm="1">
        <f t="array" ref="AM10">_xlfn.SWITCH($E$5,$H$1,AM29,$H$2,AM40,$H$3,AM51,$H$4,AM62)</f>
        <v>1800</v>
      </c>
      <c r="AN10" s="33" cm="1">
        <f t="array" ref="AN10">_xlfn.SWITCH($E$5,$H$1,AN29,$H$2,AN40,$H$3,AN51,$H$4,AN62)</f>
        <v>2200</v>
      </c>
      <c r="AO10" s="33" cm="1">
        <f t="array" ref="AO10">_xlfn.SWITCH($E$5,$H$1,AO29,$H$2,AO40,$H$3,AO51,$H$4,AO62)</f>
        <v>2300</v>
      </c>
      <c r="AP10" s="33" cm="1">
        <f t="array" ref="AP10">_xlfn.SWITCH($E$5,$H$1,AP29,$H$2,AP40,$H$3,AP51,$H$4,AP62)</f>
        <v>2450</v>
      </c>
      <c r="AQ10" s="33" cm="1">
        <f t="array" ref="AQ10">_xlfn.SWITCH($E$5,$H$1,AQ29,$H$2,AQ40,$H$3,AQ51,$H$4,AQ62)</f>
        <v>2700</v>
      </c>
      <c r="AR10" s="33" cm="1">
        <f t="array" ref="AR10">_xlfn.SWITCH($E$5,$H$1,AR29,$H$2,AR40,$H$3,AR51,$H$4,AR62)</f>
        <v>2350</v>
      </c>
    </row>
    <row r="11" spans="1:44" s="30" customFormat="1" ht="14.25" customHeight="1" x14ac:dyDescent="0.25">
      <c r="A11" s="29"/>
      <c r="B11" s="34" t="s">
        <v>25</v>
      </c>
      <c r="C11" s="33" cm="1">
        <f t="array" ref="C11">_xlfn.SWITCH($E$5,$H$1,C30,$H$2,C41,$H$3,C52,$H$4,C63)</f>
        <v>165000</v>
      </c>
      <c r="D11" s="33" cm="1">
        <f t="array" ref="D11">_xlfn.SWITCH($E$5,$H$1,D30,$H$2,D41,$H$3,D52,$H$4,D63)</f>
        <v>140000</v>
      </c>
      <c r="E11" s="33" cm="1">
        <f t="array" ref="E11">_xlfn.SWITCH($E$5,$H$1,E30,$H$2,E41,$H$3,E52,$H$4,E63)</f>
        <v>145000</v>
      </c>
      <c r="F11" s="33" cm="1">
        <f t="array" ref="F11">_xlfn.SWITCH($E$5,$H$1,F30,$H$2,F41,$H$3,F52,$H$4,F63)</f>
        <v>165000</v>
      </c>
      <c r="G11" s="33" cm="1">
        <f t="array" ref="G11">_xlfn.SWITCH($E$5,$H$1,G30,$H$2,G41,$H$3,G52,$H$4,G63)</f>
        <v>155000</v>
      </c>
      <c r="H11" s="33" cm="1">
        <f t="array" ref="H11">_xlfn.SWITCH($E$5,$H$1,H30,$H$2,H41,$H$3,H52,$H$4,H63)</f>
        <v>145000</v>
      </c>
      <c r="I11" s="33" cm="1">
        <f t="array" ref="I11">_xlfn.SWITCH($E$5,$H$1,I30,$H$2,I41,$H$3,I52,$H$4,I63)</f>
        <v>165000</v>
      </c>
      <c r="J11" s="33" cm="1">
        <f t="array" ref="J11">_xlfn.SWITCH($E$5,$H$1,J30,$H$2,J41,$H$3,J52,$H$4,J63)</f>
        <v>150000</v>
      </c>
      <c r="K11" s="33" cm="1">
        <f t="array" ref="K11">_xlfn.SWITCH($E$5,$H$1,K30,$H$2,K41,$H$3,K52,$H$4,K63)</f>
        <v>155000</v>
      </c>
      <c r="L11" s="74" cm="1">
        <f t="array" ref="L11">_xlfn.SWITCH($E$5,$H$1,L30,$H$2,L41,$H$3,L52,$H$4,L63)</f>
        <v>65</v>
      </c>
      <c r="M11" s="74" cm="1">
        <f t="array" ref="M11">_xlfn.SWITCH($E$5,$H$1,M30,$H$2,M41,$H$3,M52,$H$4,M63)</f>
        <v>72</v>
      </c>
      <c r="N11" s="74" cm="1">
        <f t="array" ref="N11">_xlfn.SWITCH($E$5,$H$1,N30,$H$2,N41,$H$3,N52,$H$4,N63)</f>
        <v>78</v>
      </c>
      <c r="O11" s="74" cm="1">
        <f t="array" ref="O11">_xlfn.SWITCH($E$5,$H$1,O30,$H$2,O41,$H$3,O52,$H$4,O63)</f>
        <v>20</v>
      </c>
      <c r="P11" s="74" cm="1">
        <f t="array" ref="P11">_xlfn.SWITCH($E$5,$H$1,P30,$H$2,P41,$H$3,P52,$H$4,P63)</f>
        <v>20</v>
      </c>
      <c r="Q11" s="74" cm="1">
        <f t="array" ref="Q11">_xlfn.SWITCH($E$5,$H$1,Q30,$H$2,Q41,$H$3,Q52,$H$4,Q63)</f>
        <v>20</v>
      </c>
      <c r="R11" s="74" cm="1">
        <f t="array" ref="R11">_xlfn.SWITCH($E$5,$H$1,R30,$H$2,R41,$H$3,R52,$H$4,R63)</f>
        <v>25</v>
      </c>
      <c r="S11" s="74" cm="1">
        <f t="array" ref="S11">_xlfn.SWITCH($E$5,$H$1,S30,$H$2,S41,$H$3,S52,$H$4,S63)</f>
        <v>17</v>
      </c>
      <c r="T11" s="74" cm="1">
        <f t="array" ref="T11">_xlfn.SWITCH($E$5,$H$1,T30,$H$2,T41,$H$3,T52,$H$4,T63)</f>
        <v>14</v>
      </c>
      <c r="U11" s="74" cm="1">
        <f t="array" ref="U11">_xlfn.SWITCH($E$5,$H$1,U30,$H$2,U41,$H$3,U52,$H$4,U63)</f>
        <v>15</v>
      </c>
      <c r="V11" s="74" cm="1">
        <f t="array" ref="V11">_xlfn.SWITCH($E$5,$H$1,V30,$H$2,V41,$H$3,V52,$H$4,V63)</f>
        <v>21</v>
      </c>
      <c r="W11" s="74" cm="1">
        <f t="array" ref="W11">_xlfn.SWITCH($E$5,$H$1,W30,$H$2,W41,$H$3,W52,$H$4,W63)</f>
        <v>20</v>
      </c>
      <c r="X11" s="33" cm="1">
        <f t="array" ref="X11">_xlfn.SWITCH($E$5,$H$1,X30,$H$2,X41,$H$3,X52,$H$4,X63)</f>
        <v>4000</v>
      </c>
      <c r="Y11" s="33" cm="1">
        <f t="array" ref="Y11">_xlfn.SWITCH($E$5,$H$1,Y30,$H$2,Y41,$H$3,Y52,$H$4,Y63)</f>
        <v>8000</v>
      </c>
      <c r="Z11" s="33" cm="1">
        <f t="array" ref="Z11">_xlfn.SWITCH($E$5,$H$1,Z30,$H$2,Z41,$H$3,Z52,$H$4,Z63)</f>
        <v>8000</v>
      </c>
      <c r="AA11" s="33" cm="1">
        <f t="array" ref="AA11">_xlfn.SWITCH($E$5,$H$1,AA30,$H$2,AA41,$H$3,AA52,$H$4,AA63)</f>
        <v>160</v>
      </c>
      <c r="AB11" s="33" cm="1">
        <f t="array" ref="AB11">_xlfn.SWITCH($E$5,$H$1,AB30,$H$2,AB41,$H$3,AB52,$H$4,AB63)</f>
        <v>470.59</v>
      </c>
      <c r="AC11" s="33" cm="1">
        <f t="array" ref="AC11">_xlfn.SWITCH($E$5,$H$1,AC30,$H$2,AC41,$H$3,AC52,$H$4,AC63)</f>
        <v>571.42999999999995</v>
      </c>
      <c r="AD11" s="33" cm="1">
        <f t="array" ref="AD11">_xlfn.SWITCH($E$5,$H$1,AD30,$H$2,AD41,$H$3,AD52,$H$4,AD63)</f>
        <v>350</v>
      </c>
      <c r="AE11" s="33" cm="1">
        <f t="array" ref="AE11">_xlfn.SWITCH($E$5,$H$1,AE30,$H$2,AE41,$H$3,AE52,$H$4,AE63)</f>
        <v>350</v>
      </c>
      <c r="AF11" s="33" cm="1">
        <f t="array" ref="AF11">_xlfn.SWITCH($E$5,$H$1,AF30,$H$2,AF41,$H$3,AF52,$H$4,AF63)</f>
        <v>300</v>
      </c>
      <c r="AG11" s="33" cm="1">
        <f t="array" ref="AG11">_xlfn.SWITCH($E$5,$H$1,AG30,$H$2,AG41,$H$3,AG52,$H$4,AG63)</f>
        <v>345</v>
      </c>
      <c r="AH11" s="33" cm="1">
        <f t="array" ref="AH11">_xlfn.SWITCH($E$5,$H$1,AH30,$H$2,AH41,$H$3,AH52,$H$4,AH63)</f>
        <v>405</v>
      </c>
      <c r="AI11" s="33" cm="1">
        <f t="array" ref="AI11">_xlfn.SWITCH($E$5,$H$1,AI30,$H$2,AI41,$H$3,AI52,$H$4,AI63)</f>
        <v>352</v>
      </c>
      <c r="AJ11" s="33" cm="1">
        <f t="array" ref="AJ11">_xlfn.SWITCH($E$5,$H$1,AJ30,$H$2,AJ41,$H$3,AJ52,$H$4,AJ63)</f>
        <v>2538.46</v>
      </c>
      <c r="AK11" s="33" cm="1">
        <f t="array" ref="AK11">_xlfn.SWITCH($E$5,$H$1,AK30,$H$2,AK41,$H$3,AK52,$H$4,AK63)</f>
        <v>1944.44</v>
      </c>
      <c r="AL11" s="33" cm="1">
        <f t="array" ref="AL11">_xlfn.SWITCH($E$5,$H$1,AL30,$H$2,AL41,$H$3,AL52,$H$4,AL63)</f>
        <v>1858.97</v>
      </c>
      <c r="AM11" s="33" cm="1">
        <f t="array" ref="AM11">_xlfn.SWITCH($E$5,$H$1,AM30,$H$2,AM41,$H$3,AM52,$H$4,AM63)</f>
        <v>2500</v>
      </c>
      <c r="AN11" s="33" cm="1">
        <f t="array" ref="AN11">_xlfn.SWITCH($E$5,$H$1,AN30,$H$2,AN41,$H$3,AN52,$H$4,AN63)</f>
        <v>2500</v>
      </c>
      <c r="AO11" s="33" cm="1">
        <f t="array" ref="AO11">_xlfn.SWITCH($E$5,$H$1,AO30,$H$2,AO41,$H$3,AO52,$H$4,AO63)</f>
        <v>2600</v>
      </c>
      <c r="AP11" s="33" cm="1">
        <f t="array" ref="AP11">_xlfn.SWITCH($E$5,$H$1,AP30,$H$2,AP41,$H$3,AP52,$H$4,AP63)</f>
        <v>2450</v>
      </c>
      <c r="AQ11" s="33" cm="1">
        <f t="array" ref="AQ11">_xlfn.SWITCH($E$5,$H$1,AQ30,$H$2,AQ41,$H$3,AQ52,$H$4,AQ63)</f>
        <v>2700</v>
      </c>
      <c r="AR11" s="33" cm="1">
        <f t="array" ref="AR11">_xlfn.SWITCH($E$5,$H$1,AR30,$H$2,AR41,$H$3,AR52,$H$4,AR63)</f>
        <v>2350</v>
      </c>
    </row>
    <row r="12" spans="1:44" s="30" customFormat="1" ht="14.25" customHeight="1" x14ac:dyDescent="0.25">
      <c r="A12" s="29"/>
      <c r="B12" s="34" t="s">
        <v>26</v>
      </c>
      <c r="C12" s="33" cm="1">
        <f t="array" ref="C12">_xlfn.SWITCH($E$5,$H$1,C31,$H$2,C42,$H$3,C53,$H$4,C64)</f>
        <v>125000</v>
      </c>
      <c r="D12" s="33" cm="1">
        <f t="array" ref="D12">_xlfn.SWITCH($E$5,$H$1,D31,$H$2,D42,$H$3,D53,$H$4,D64)</f>
        <v>155000</v>
      </c>
      <c r="E12" s="33" cm="1">
        <f t="array" ref="E12">_xlfn.SWITCH($E$5,$H$1,E31,$H$2,E42,$H$3,E53,$H$4,E64)</f>
        <v>155000</v>
      </c>
      <c r="F12" s="33" cm="1">
        <f t="array" ref="F12">_xlfn.SWITCH($E$5,$H$1,F31,$H$2,F42,$H$3,F53,$H$4,F64)</f>
        <v>165000</v>
      </c>
      <c r="G12" s="33" cm="1">
        <f t="array" ref="G12">_xlfn.SWITCH($E$5,$H$1,G31,$H$2,G42,$H$3,G53,$H$4,G64)</f>
        <v>155000</v>
      </c>
      <c r="H12" s="33" cm="1">
        <f t="array" ref="H12">_xlfn.SWITCH($E$5,$H$1,H31,$H$2,H42,$H$3,H53,$H$4,H64)</f>
        <v>145000</v>
      </c>
      <c r="I12" s="33" cm="1">
        <f t="array" ref="I12">_xlfn.SWITCH($E$5,$H$1,I31,$H$2,I42,$H$3,I53,$H$4,I64)</f>
        <v>150000</v>
      </c>
      <c r="J12" s="33" cm="1">
        <f t="array" ref="J12">_xlfn.SWITCH($E$5,$H$1,J31,$H$2,J42,$H$3,J53,$H$4,J64)</f>
        <v>145000</v>
      </c>
      <c r="K12" s="33" cm="1">
        <f t="array" ref="K12">_xlfn.SWITCH($E$5,$H$1,K31,$H$2,K42,$H$3,K53,$H$4,K64)</f>
        <v>125000</v>
      </c>
      <c r="L12" s="74" cm="1">
        <f t="array" ref="L12">_xlfn.SWITCH($E$5,$H$1,L31,$H$2,L42,$H$3,L53,$H$4,L64)</f>
        <v>65</v>
      </c>
      <c r="M12" s="74" cm="1">
        <f t="array" ref="M12">_xlfn.SWITCH($E$5,$H$1,M31,$H$2,M42,$H$3,M53,$H$4,M64)</f>
        <v>70</v>
      </c>
      <c r="N12" s="74" cm="1">
        <f t="array" ref="N12">_xlfn.SWITCH($E$5,$H$1,N31,$H$2,N42,$H$3,N53,$H$4,N64)</f>
        <v>85</v>
      </c>
      <c r="O12" s="74" cm="1">
        <f t="array" ref="O12">_xlfn.SWITCH($E$5,$H$1,O31,$H$2,O42,$H$3,O53,$H$4,O64)</f>
        <v>20</v>
      </c>
      <c r="P12" s="74" cm="1">
        <f t="array" ref="P12">_xlfn.SWITCH($E$5,$H$1,P31,$H$2,P42,$H$3,P53,$H$4,P64)</f>
        <v>20</v>
      </c>
      <c r="Q12" s="74" cm="1">
        <f t="array" ref="Q12">_xlfn.SWITCH($E$5,$H$1,Q31,$H$2,Q42,$H$3,Q53,$H$4,Q64)</f>
        <v>20</v>
      </c>
      <c r="R12" s="74" cm="1">
        <f t="array" ref="R12">_xlfn.SWITCH($E$5,$H$1,R31,$H$2,R42,$H$3,R53,$H$4,R64)</f>
        <v>19</v>
      </c>
      <c r="S12" s="74" cm="1">
        <f t="array" ref="S12">_xlfn.SWITCH($E$5,$H$1,S31,$H$2,S42,$H$3,S53,$H$4,S64)</f>
        <v>15</v>
      </c>
      <c r="T12" s="74" cm="1">
        <f t="array" ref="T12">_xlfn.SWITCH($E$5,$H$1,T31,$H$2,T42,$H$3,T53,$H$4,T64)</f>
        <v>21</v>
      </c>
      <c r="U12" s="74" cm="1">
        <f t="array" ref="U12">_xlfn.SWITCH($E$5,$H$1,U31,$H$2,U42,$H$3,U53,$H$4,U64)</f>
        <v>22</v>
      </c>
      <c r="V12" s="74" cm="1">
        <f t="array" ref="V12">_xlfn.SWITCH($E$5,$H$1,V31,$H$2,V42,$H$3,V53,$H$4,V64)</f>
        <v>20</v>
      </c>
      <c r="W12" s="74" cm="1">
        <f t="array" ref="W12">_xlfn.SWITCH($E$5,$H$1,W31,$H$2,W42,$H$3,W53,$H$4,W64)</f>
        <v>17</v>
      </c>
      <c r="X12" s="33" cm="1">
        <f t="array" ref="X12">_xlfn.SWITCH($E$5,$H$1,X31,$H$2,X42,$H$3,X53,$H$4,X64)</f>
        <v>9000</v>
      </c>
      <c r="Y12" s="33" cm="1">
        <f t="array" ref="Y12">_xlfn.SWITCH($E$5,$H$1,Y31,$H$2,Y42,$H$3,Y53,$H$4,Y64)</f>
        <v>8500</v>
      </c>
      <c r="Z12" s="33" cm="1">
        <f t="array" ref="Z12">_xlfn.SWITCH($E$5,$H$1,Z31,$H$2,Z42,$H$3,Z53,$H$4,Z64)</f>
        <v>7000</v>
      </c>
      <c r="AA12" s="33" cm="1">
        <f t="array" ref="AA12">_xlfn.SWITCH($E$5,$H$1,AA31,$H$2,AA42,$H$3,AA53,$H$4,AA64)</f>
        <v>473.68</v>
      </c>
      <c r="AB12" s="33" cm="1">
        <f t="array" ref="AB12">_xlfn.SWITCH($E$5,$H$1,AB31,$H$2,AB42,$H$3,AB53,$H$4,AB64)</f>
        <v>566.66999999999996</v>
      </c>
      <c r="AC12" s="33" cm="1">
        <f t="array" ref="AC12">_xlfn.SWITCH($E$5,$H$1,AC31,$H$2,AC42,$H$3,AC53,$H$4,AC64)</f>
        <v>333.33</v>
      </c>
      <c r="AD12" s="33" cm="1">
        <f t="array" ref="AD12">_xlfn.SWITCH($E$5,$H$1,AD31,$H$2,AD42,$H$3,AD53,$H$4,AD64)</f>
        <v>350</v>
      </c>
      <c r="AE12" s="33" cm="1">
        <f t="array" ref="AE12">_xlfn.SWITCH($E$5,$H$1,AE31,$H$2,AE42,$H$3,AE53,$H$4,AE64)</f>
        <v>350</v>
      </c>
      <c r="AF12" s="33" cm="1">
        <f t="array" ref="AF12">_xlfn.SWITCH($E$5,$H$1,AF31,$H$2,AF42,$H$3,AF53,$H$4,AF64)</f>
        <v>300</v>
      </c>
      <c r="AG12" s="33" cm="1">
        <f t="array" ref="AG12">_xlfn.SWITCH($E$5,$H$1,AG31,$H$2,AG42,$H$3,AG53,$H$4,AG64)</f>
        <v>350</v>
      </c>
      <c r="AH12" s="33" cm="1">
        <f t="array" ref="AH12">_xlfn.SWITCH($E$5,$H$1,AH31,$H$2,AH42,$H$3,AH53,$H$4,AH64)</f>
        <v>400</v>
      </c>
      <c r="AI12" s="33" cm="1">
        <f t="array" ref="AI12">_xlfn.SWITCH($E$5,$H$1,AI31,$H$2,AI42,$H$3,AI53,$H$4,AI64)</f>
        <v>388</v>
      </c>
      <c r="AJ12" s="33" cm="1">
        <f t="array" ref="AJ12">_xlfn.SWITCH($E$5,$H$1,AJ31,$H$2,AJ42,$H$3,AJ53,$H$4,AJ64)</f>
        <v>1923.08</v>
      </c>
      <c r="AK12" s="33" cm="1">
        <f t="array" ref="AK12">_xlfn.SWITCH($E$5,$H$1,AK31,$H$2,AK42,$H$3,AK53,$H$4,AK64)</f>
        <v>2214.29</v>
      </c>
      <c r="AL12" s="33" cm="1">
        <f t="array" ref="AL12">_xlfn.SWITCH($E$5,$H$1,AL31,$H$2,AL42,$H$3,AL53,$H$4,AL64)</f>
        <v>1823.53</v>
      </c>
      <c r="AM12" s="33" cm="1">
        <f t="array" ref="AM12">_xlfn.SWITCH($E$5,$H$1,AM31,$H$2,AM42,$H$3,AM53,$H$4,AM64)</f>
        <v>2100</v>
      </c>
      <c r="AN12" s="33" cm="1">
        <f t="array" ref="AN12">_xlfn.SWITCH($E$5,$H$1,AN31,$H$2,AN42,$H$3,AN53,$H$4,AN64)</f>
        <v>2400</v>
      </c>
      <c r="AO12" s="33" cm="1">
        <f t="array" ref="AO12">_xlfn.SWITCH($E$5,$H$1,AO31,$H$2,AO42,$H$3,AO53,$H$4,AO64)</f>
        <v>2400</v>
      </c>
      <c r="AP12" s="33" cm="1">
        <f t="array" ref="AP12">_xlfn.SWITCH($E$5,$H$1,AP31,$H$2,AP42,$H$3,AP53,$H$4,AP64)</f>
        <v>2450</v>
      </c>
      <c r="AQ12" s="33" cm="1">
        <f t="array" ref="AQ12">_xlfn.SWITCH($E$5,$H$1,AQ31,$H$2,AQ42,$H$3,AQ53,$H$4,AQ64)</f>
        <v>2700</v>
      </c>
      <c r="AR12" s="33" cm="1">
        <f t="array" ref="AR12">_xlfn.SWITCH($E$5,$H$1,AR31,$H$2,AR42,$H$3,AR53,$H$4,AR64)</f>
        <v>2350</v>
      </c>
    </row>
    <row r="13" spans="1:44" s="30" customFormat="1" ht="14.25" customHeight="1" x14ac:dyDescent="0.25">
      <c r="A13" s="29"/>
      <c r="B13" s="34" t="s">
        <v>27</v>
      </c>
      <c r="C13" s="33" cm="1">
        <f t="array" ref="C13">_xlfn.SWITCH($E$5,$H$1,C32,$H$2,C43,$H$3,C54,$H$4,C65)</f>
        <v>150000</v>
      </c>
      <c r="D13" s="33" cm="1">
        <f t="array" ref="D13">_xlfn.SWITCH($E$5,$H$1,D32,$H$2,D43,$H$3,D54,$H$4,D65)</f>
        <v>130000</v>
      </c>
      <c r="E13" s="33" cm="1">
        <f t="array" ref="E13">_xlfn.SWITCH($E$5,$H$1,E32,$H$2,E43,$H$3,E54,$H$4,E65)</f>
        <v>150000</v>
      </c>
      <c r="F13" s="33" cm="1">
        <f t="array" ref="F13">_xlfn.SWITCH($E$5,$H$1,F32,$H$2,F43,$H$3,F54,$H$4,F65)</f>
        <v>165000</v>
      </c>
      <c r="G13" s="33" cm="1">
        <f t="array" ref="G13">_xlfn.SWITCH($E$5,$H$1,G32,$H$2,G43,$H$3,G54,$H$4,G65)</f>
        <v>155000</v>
      </c>
      <c r="H13" s="33" cm="1">
        <f t="array" ref="H13">_xlfn.SWITCH($E$5,$H$1,H32,$H$2,H43,$H$3,H54,$H$4,H65)</f>
        <v>145000</v>
      </c>
      <c r="I13" s="33" cm="1">
        <f t="array" ref="I13">_xlfn.SWITCH($E$5,$H$1,I32,$H$2,I43,$H$3,I54,$H$4,I65)</f>
        <v>170000</v>
      </c>
      <c r="J13" s="33" cm="1">
        <f t="array" ref="J13">_xlfn.SWITCH($E$5,$H$1,J32,$H$2,J43,$H$3,J54,$H$4,J65)</f>
        <v>155000</v>
      </c>
      <c r="K13" s="33" cm="1">
        <f t="array" ref="K13">_xlfn.SWITCH($E$5,$H$1,K32,$H$2,K43,$H$3,K54,$H$4,K65)</f>
        <v>130000</v>
      </c>
      <c r="L13" s="74" cm="1">
        <f t="array" ref="L13">_xlfn.SWITCH($E$5,$H$1,L32,$H$2,L43,$H$3,L54,$H$4,L65)</f>
        <v>75</v>
      </c>
      <c r="M13" s="74" cm="1">
        <f t="array" ref="M13">_xlfn.SWITCH($E$5,$H$1,M32,$H$2,M43,$H$3,M54,$H$4,M65)</f>
        <v>63</v>
      </c>
      <c r="N13" s="74" cm="1">
        <f t="array" ref="N13">_xlfn.SWITCH($E$5,$H$1,N32,$H$2,N43,$H$3,N54,$H$4,N65)</f>
        <v>80</v>
      </c>
      <c r="O13" s="74" cm="1">
        <f t="array" ref="O13">_xlfn.SWITCH($E$5,$H$1,O32,$H$2,O43,$H$3,O54,$H$4,O65)</f>
        <v>20</v>
      </c>
      <c r="P13" s="74" cm="1">
        <f t="array" ref="P13">_xlfn.SWITCH($E$5,$H$1,P32,$H$2,P43,$H$3,P54,$H$4,P65)</f>
        <v>20</v>
      </c>
      <c r="Q13" s="74" cm="1">
        <f t="array" ref="Q13">_xlfn.SWITCH($E$5,$H$1,Q32,$H$2,Q43,$H$3,Q54,$H$4,Q65)</f>
        <v>20</v>
      </c>
      <c r="R13" s="74" cm="1">
        <f t="array" ref="R13">_xlfn.SWITCH($E$5,$H$1,R32,$H$2,R43,$H$3,R54,$H$4,R65)</f>
        <v>24</v>
      </c>
      <c r="S13" s="74" cm="1">
        <f t="array" ref="S13">_xlfn.SWITCH($E$5,$H$1,S32,$H$2,S43,$H$3,S54,$H$4,S65)</f>
        <v>15</v>
      </c>
      <c r="T13" s="74" cm="1">
        <f t="array" ref="T13">_xlfn.SWITCH($E$5,$H$1,T32,$H$2,T43,$H$3,T54,$H$4,T65)</f>
        <v>30</v>
      </c>
      <c r="U13" s="74" cm="1">
        <f t="array" ref="U13">_xlfn.SWITCH($E$5,$H$1,U32,$H$2,U43,$H$3,U54,$H$4,U65)</f>
        <v>23</v>
      </c>
      <c r="V13" s="74" cm="1">
        <f t="array" ref="V13">_xlfn.SWITCH($E$5,$H$1,V32,$H$2,V43,$H$3,V54,$H$4,V65)</f>
        <v>24</v>
      </c>
      <c r="W13" s="74" cm="1">
        <f t="array" ref="W13">_xlfn.SWITCH($E$5,$H$1,W32,$H$2,W43,$H$3,W54,$H$4,W65)</f>
        <v>20</v>
      </c>
      <c r="X13" s="33" cm="1">
        <f t="array" ref="X13">_xlfn.SWITCH($E$5,$H$1,X32,$H$2,X43,$H$3,X54,$H$4,X65)</f>
        <v>9500</v>
      </c>
      <c r="Y13" s="33" cm="1">
        <f t="array" ref="Y13">_xlfn.SWITCH($E$5,$H$1,Y32,$H$2,Y43,$H$3,Y54,$H$4,Y65)</f>
        <v>9000</v>
      </c>
      <c r="Z13" s="33" cm="1">
        <f t="array" ref="Z13">_xlfn.SWITCH($E$5,$H$1,Z32,$H$2,Z43,$H$3,Z54,$H$4,Z65)</f>
        <v>8000</v>
      </c>
      <c r="AA13" s="33" cm="1">
        <f t="array" ref="AA13">_xlfn.SWITCH($E$5,$H$1,AA32,$H$2,AA43,$H$3,AA54,$H$4,AA65)</f>
        <v>395.83</v>
      </c>
      <c r="AB13" s="33" cm="1">
        <f t="array" ref="AB13">_xlfn.SWITCH($E$5,$H$1,AB32,$H$2,AB43,$H$3,AB54,$H$4,AB65)</f>
        <v>600</v>
      </c>
      <c r="AC13" s="33" cm="1">
        <f t="array" ref="AC13">_xlfn.SWITCH($E$5,$H$1,AC32,$H$2,AC43,$H$3,AC54,$H$4,AC65)</f>
        <v>266.67</v>
      </c>
      <c r="AD13" s="33" cm="1">
        <f t="array" ref="AD13">_xlfn.SWITCH($E$5,$H$1,AD32,$H$2,AD43,$H$3,AD54,$H$4,AD65)</f>
        <v>350</v>
      </c>
      <c r="AE13" s="33" cm="1">
        <f t="array" ref="AE13">_xlfn.SWITCH($E$5,$H$1,AE32,$H$2,AE43,$H$3,AE54,$H$4,AE65)</f>
        <v>350</v>
      </c>
      <c r="AF13" s="33" cm="1">
        <f t="array" ref="AF13">_xlfn.SWITCH($E$5,$H$1,AF32,$H$2,AF43,$H$3,AF54,$H$4,AF65)</f>
        <v>300</v>
      </c>
      <c r="AG13" s="33" cm="1">
        <f t="array" ref="AG13">_xlfn.SWITCH($E$5,$H$1,AG32,$H$2,AG43,$H$3,AG54,$H$4,AG65)</f>
        <v>360</v>
      </c>
      <c r="AH13" s="33" cm="1">
        <f t="array" ref="AH13">_xlfn.SWITCH($E$5,$H$1,AH32,$H$2,AH43,$H$3,AH54,$H$4,AH65)</f>
        <v>350</v>
      </c>
      <c r="AI13" s="33" cm="1">
        <f t="array" ref="AI13">_xlfn.SWITCH($E$5,$H$1,AI32,$H$2,AI43,$H$3,AI54,$H$4,AI65)</f>
        <v>425</v>
      </c>
      <c r="AJ13" s="33" cm="1">
        <f t="array" ref="AJ13">_xlfn.SWITCH($E$5,$H$1,AJ32,$H$2,AJ43,$H$3,AJ54,$H$4,AJ65)</f>
        <v>2000</v>
      </c>
      <c r="AK13" s="33" cm="1">
        <f t="array" ref="AK13">_xlfn.SWITCH($E$5,$H$1,AK32,$H$2,AK43,$H$3,AK54,$H$4,AK65)</f>
        <v>2063.4899999999998</v>
      </c>
      <c r="AL13" s="33" cm="1">
        <f t="array" ref="AL13">_xlfn.SWITCH($E$5,$H$1,AL32,$H$2,AL43,$H$3,AL54,$H$4,AL65)</f>
        <v>1875</v>
      </c>
      <c r="AM13" s="33" cm="1">
        <f t="array" ref="AM13">_xlfn.SWITCH($E$5,$H$1,AM32,$H$2,AM43,$H$3,AM54,$H$4,AM65)</f>
        <v>2100</v>
      </c>
      <c r="AN13" s="33" cm="1">
        <f t="array" ref="AN13">_xlfn.SWITCH($E$5,$H$1,AN32,$H$2,AN43,$H$3,AN54,$H$4,AN65)</f>
        <v>2800</v>
      </c>
      <c r="AO13" s="33" cm="1">
        <f t="array" ref="AO13">_xlfn.SWITCH($E$5,$H$1,AO32,$H$2,AO43,$H$3,AO54,$H$4,AO65)</f>
        <v>3000</v>
      </c>
      <c r="AP13" s="33" cm="1">
        <f t="array" ref="AP13">_xlfn.SWITCH($E$5,$H$1,AP32,$H$2,AP43,$H$3,AP54,$H$4,AP65)</f>
        <v>2450</v>
      </c>
      <c r="AQ13" s="33" cm="1">
        <f t="array" ref="AQ13">_xlfn.SWITCH($E$5,$H$1,AQ32,$H$2,AQ43,$H$3,AQ54,$H$4,AQ65)</f>
        <v>2700</v>
      </c>
      <c r="AR13" s="33" cm="1">
        <f t="array" ref="AR13">_xlfn.SWITCH($E$5,$H$1,AR32,$H$2,AR43,$H$3,AR54,$H$4,AR65)</f>
        <v>2350</v>
      </c>
    </row>
    <row r="14" spans="1:44" s="30" customFormat="1" ht="14.25" customHeight="1" x14ac:dyDescent="0.25">
      <c r="A14" s="29"/>
      <c r="B14" s="35" t="s">
        <v>28</v>
      </c>
      <c r="C14" s="31" cm="1">
        <f t="array" ref="C14">_xlfn.SWITCH($E$5,$H$1,C33,$H$2,C44,$H$3,C55,$H$4,C66)</f>
        <v>700000</v>
      </c>
      <c r="D14" s="31" cm="1">
        <f t="array" ref="D14">_xlfn.SWITCH($E$5,$H$1,D33,$H$2,D44,$H$3,D55,$H$4,D66)</f>
        <v>715000</v>
      </c>
      <c r="E14" s="31" cm="1">
        <f t="array" ref="E14">_xlfn.SWITCH($E$5,$H$1,E33,$H$2,E44,$H$3,E55,$H$4,E66)</f>
        <v>770000</v>
      </c>
      <c r="F14" s="31" cm="1">
        <f t="array" ref="F14">_xlfn.SWITCH($E$5,$H$1,F33,$H$2,F44,$H$3,F55,$H$4,F66)</f>
        <v>825000</v>
      </c>
      <c r="G14" s="31" cm="1">
        <f t="array" ref="G14">_xlfn.SWITCH($E$5,$H$1,G33,$H$2,G44,$H$3,G55,$H$4,G66)</f>
        <v>775000</v>
      </c>
      <c r="H14" s="31" cm="1">
        <f t="array" ref="H14">_xlfn.SWITCH($E$5,$H$1,H33,$H$2,H44,$H$3,H55,$H$4,H66)</f>
        <v>725000</v>
      </c>
      <c r="I14" s="31" cm="1">
        <f t="array" ref="I14">_xlfn.SWITCH($E$5,$H$1,I33,$H$2,I44,$H$3,I55,$H$4,I66)</f>
        <v>780000</v>
      </c>
      <c r="J14" s="31" cm="1">
        <f t="array" ref="J14">_xlfn.SWITCH($E$5,$H$1,J33,$H$2,J44,$H$3,J55,$H$4,J66)</f>
        <v>700000</v>
      </c>
      <c r="K14" s="31" cm="1">
        <f t="array" ref="K14">_xlfn.SWITCH($E$5,$H$1,K33,$H$2,K44,$H$3,K55,$H$4,K66)</f>
        <v>685000</v>
      </c>
      <c r="L14" s="31" cm="1">
        <f t="array" ref="L14">_xlfn.SWITCH($E$5,$H$1,L33,$H$2,L44,$H$3,L55,$H$4,L66)</f>
        <v>345</v>
      </c>
      <c r="M14" s="73" cm="1">
        <f t="array" ref="M14">_xlfn.SWITCH($E$5,$H$1,M33,$H$2,M44,$H$3,M55,$H$4,M66)</f>
        <v>366</v>
      </c>
      <c r="N14" s="73" cm="1">
        <f t="array" ref="N14">_xlfn.SWITCH($E$5,$H$1,N33,$H$2,N44,$H$3,N55,$H$4,N66)</f>
        <v>393</v>
      </c>
      <c r="O14" s="73" cm="1">
        <f t="array" ref="O14">_xlfn.SWITCH($E$5,$H$1,O33,$H$2,O44,$H$3,O55,$H$4,O66)</f>
        <v>100</v>
      </c>
      <c r="P14" s="73" cm="1">
        <f t="array" ref="P14">_xlfn.SWITCH($E$5,$H$1,P33,$H$2,P44,$H$3,P55,$H$4,P66)</f>
        <v>100</v>
      </c>
      <c r="Q14" s="73" cm="1">
        <f t="array" ref="Q14">_xlfn.SWITCH($E$5,$H$1,Q33,$H$2,Q44,$H$3,Q55,$H$4,Q66)</f>
        <v>100</v>
      </c>
      <c r="R14" s="73" cm="1">
        <f t="array" ref="R14">_xlfn.SWITCH($E$5,$H$1,R33,$H$2,R44,$H$3,R55,$H$4,R66)</f>
        <v>108</v>
      </c>
      <c r="S14" s="73" cm="1">
        <f t="array" ref="S14">_xlfn.SWITCH($E$5,$H$1,S33,$H$2,S44,$H$3,S55,$H$4,S66)</f>
        <v>87</v>
      </c>
      <c r="T14" s="73" cm="1">
        <f t="array" ref="T14">_xlfn.SWITCH($E$5,$H$1,T33,$H$2,T44,$H$3,T55,$H$4,T66)</f>
        <v>114</v>
      </c>
      <c r="U14" s="73" cm="1">
        <f t="array" ref="U14">_xlfn.SWITCH($E$5,$H$1,U33,$H$2,U44,$H$3,U55,$H$4,U66)</f>
        <v>97</v>
      </c>
      <c r="V14" s="73" cm="1">
        <f t="array" ref="V14">_xlfn.SWITCH($E$5,$H$1,V33,$H$2,V44,$H$3,V55,$H$4,V66)</f>
        <v>96</v>
      </c>
      <c r="W14" s="73" cm="1">
        <f t="array" ref="W14">_xlfn.SWITCH($E$5,$H$1,W33,$H$2,W44,$H$3,W55,$H$4,W66)</f>
        <v>94</v>
      </c>
      <c r="X14" s="73" cm="1">
        <f t="array" ref="X14">_xlfn.SWITCH($E$5,$H$1,X33,$H$2,X44,$H$3,X55,$H$4,X66)</f>
        <v>33200</v>
      </c>
      <c r="Y14" s="31" cm="1">
        <f t="array" ref="Y14">_xlfn.SWITCH($E$5,$H$1,Y33,$H$2,Y44,$H$3,Y55,$H$4,Y66)</f>
        <v>37500</v>
      </c>
      <c r="Z14" s="31" cm="1">
        <f t="array" ref="Z14">_xlfn.SWITCH($E$5,$H$1,Z33,$H$2,Z44,$H$3,Z55,$H$4,Z66)</f>
        <v>37500</v>
      </c>
      <c r="AA14" s="31" cm="1">
        <f t="array" ref="AA14">_xlfn.SWITCH($E$5,$H$1,AA33,$H$2,AA44,$H$3,AA55,$H$4,AA66)</f>
        <v>316.56799999999998</v>
      </c>
      <c r="AB14" s="31" cm="1">
        <f t="array" ref="AB14">_xlfn.SWITCH($E$5,$H$1,AB33,$H$2,AB44,$H$3,AB55,$H$4,AB66)</f>
        <v>446.64399999999995</v>
      </c>
      <c r="AC14" s="31" cm="1">
        <f t="array" ref="AC14">_xlfn.SWITCH($E$5,$H$1,AC33,$H$2,AC44,$H$3,AC55,$H$4,AC66)</f>
        <v>353.12</v>
      </c>
      <c r="AD14" s="31" cm="1">
        <f t="array" ref="AD14">_xlfn.SWITCH($E$5,$H$1,AD33,$H$2,AD44,$H$3,AD55,$H$4,AD66)</f>
        <v>350</v>
      </c>
      <c r="AE14" s="31" cm="1">
        <f t="array" ref="AE14">_xlfn.SWITCH($E$5,$H$1,AE33,$H$2,AE44,$H$3,AE55,$H$4,AE66)</f>
        <v>350</v>
      </c>
      <c r="AF14" s="31" cm="1">
        <f t="array" ref="AF14">_xlfn.SWITCH($E$5,$H$1,AF33,$H$2,AF44,$H$3,AF55,$H$4,AF66)</f>
        <v>300</v>
      </c>
      <c r="AG14" s="31" cm="1">
        <f t="array" ref="AG14">_xlfn.SWITCH($E$5,$H$1,AG33,$H$2,AG44,$H$3,AG55,$H$4,AG66)</f>
        <v>374.6</v>
      </c>
      <c r="AH14" s="31" cm="1">
        <f t="array" ref="AH14">_xlfn.SWITCH($E$5,$H$1,AH33,$H$2,AH44,$H$3,AH55,$H$4,AH66)</f>
        <v>378</v>
      </c>
      <c r="AI14" s="31" cm="1">
        <f t="array" ref="AI14">_xlfn.SWITCH($E$5,$H$1,AI33,$H$2,AI44,$H$3,AI55,$H$4,AI66)</f>
        <v>385</v>
      </c>
      <c r="AJ14" s="31" cm="1">
        <f t="array" ref="AJ14">_xlfn.SWITCH($E$5,$H$1,AJ33,$H$2,AJ44,$H$3,AJ55,$H$4,AJ66)</f>
        <v>2019.4880000000001</v>
      </c>
      <c r="AK14" s="31" cm="1">
        <f t="array" ref="AK14">_xlfn.SWITCH($E$5,$H$1,AK33,$H$2,AK44,$H$3,AK55,$H$4,AK66)</f>
        <v>1968.5919999999999</v>
      </c>
      <c r="AL14" s="31" cm="1">
        <f t="array" ref="AL14">_xlfn.SWITCH($E$5,$H$1,AL33,$H$2,AL44,$H$3,AL55,$H$4,AL66)</f>
        <v>1972.2139999999999</v>
      </c>
      <c r="AM14" s="31" cm="1">
        <f t="array" ref="AM14">_xlfn.SWITCH($E$5,$H$1,AM33,$H$2,AM44,$H$3,AM55,$H$4,AM66)</f>
        <v>2200</v>
      </c>
      <c r="AN14" s="31" cm="1">
        <f t="array" ref="AN14">_xlfn.SWITCH($E$5,$H$1,AN33,$H$2,AN44,$H$3,AN55,$H$4,AN66)</f>
        <v>2520</v>
      </c>
      <c r="AO14" s="31" cm="1">
        <f t="array" ref="AO14">_xlfn.SWITCH($E$5,$H$1,AO33,$H$2,AO44,$H$3,AO55,$H$4,AO66)</f>
        <v>2540</v>
      </c>
      <c r="AP14" s="31" cm="1">
        <f t="array" ref="AP14">_xlfn.SWITCH($E$5,$H$1,AP33,$H$2,AP44,$H$3,AP55,$H$4,AP66)</f>
        <v>2450</v>
      </c>
      <c r="AQ14" s="31" cm="1">
        <f t="array" ref="AQ14">_xlfn.SWITCH($E$5,$H$1,AQ33,$H$2,AQ44,$H$3,AQ55,$H$4,AQ66)</f>
        <v>2700</v>
      </c>
      <c r="AR14" s="31" cm="1">
        <f t="array" ref="AR14">_xlfn.SWITCH($E$5,$H$1,AR33,$H$2,AR44,$H$3,AR55,$H$4,AR66)</f>
        <v>2350</v>
      </c>
    </row>
    <row r="15" spans="1:44" ht="14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21" x14ac:dyDescent="0.25">
      <c r="A16" s="17"/>
      <c r="B16" s="37" t="s">
        <v>29</v>
      </c>
      <c r="C16" s="38"/>
      <c r="D16" s="39">
        <f>SUM(C33:E33,C44:E44,C55:E55,C66:E66)</f>
        <v>9271500</v>
      </c>
      <c r="E16" s="17"/>
      <c r="F16" s="17"/>
      <c r="G16" s="17"/>
      <c r="H16" s="17"/>
      <c r="I16" s="17"/>
      <c r="J16" s="17"/>
      <c r="K16" s="17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14.25" customHeight="1" x14ac:dyDescent="0.25">
      <c r="A17" s="17"/>
      <c r="B17" s="40" t="s">
        <v>30</v>
      </c>
      <c r="C17" s="41"/>
      <c r="D17" s="42">
        <f>SUM(L33:N33,L44:N44,L55:N55,L66:N66)</f>
        <v>3799</v>
      </c>
      <c r="E17" s="17"/>
      <c r="F17" s="17"/>
      <c r="G17" s="17"/>
      <c r="H17" s="17"/>
      <c r="I17" s="17"/>
      <c r="J17" s="17"/>
      <c r="K17" s="17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14.25" customHeight="1" x14ac:dyDescent="0.25">
      <c r="A18" s="17"/>
      <c r="B18" s="40" t="s">
        <v>31</v>
      </c>
      <c r="C18" s="41"/>
      <c r="D18" s="42">
        <f>SUM(R33:T33,R44:T44,R55:T55,R66:T66)</f>
        <v>1228</v>
      </c>
      <c r="E18" s="16"/>
      <c r="F18" s="16"/>
      <c r="G18" s="16"/>
      <c r="H18" s="17"/>
      <c r="I18" s="17"/>
      <c r="J18" s="17"/>
      <c r="K18" s="17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14.25" customHeight="1" x14ac:dyDescent="0.25">
      <c r="A19" s="17"/>
      <c r="B19" s="43" t="s">
        <v>32</v>
      </c>
      <c r="C19" s="44"/>
      <c r="D19" s="45">
        <f>D16/D17</f>
        <v>2440.5106607001844</v>
      </c>
      <c r="E19" s="17"/>
      <c r="F19" s="17"/>
      <c r="G19" s="17"/>
      <c r="H19" s="17"/>
      <c r="I19" s="17"/>
      <c r="J19" s="17"/>
      <c r="K19" s="17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14.2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ht="14.2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ht="8.2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ht="14.25" hidden="1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ht="14.25" hidden="1" customHeight="1" x14ac:dyDescent="0.25">
      <c r="A24" s="13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</row>
    <row r="25" spans="1:44" s="25" customFormat="1" ht="52.5" customHeight="1" x14ac:dyDescent="0.3">
      <c r="A25" s="24"/>
      <c r="B25" s="46"/>
      <c r="C25" s="56" t="s">
        <v>33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</row>
    <row r="26" spans="1:44" s="25" customFormat="1" ht="14.25" customHeight="1" x14ac:dyDescent="0.25">
      <c r="A26" s="24"/>
      <c r="B26" s="52"/>
      <c r="C26" s="53" t="s">
        <v>34</v>
      </c>
      <c r="D26" s="53" t="s">
        <v>35</v>
      </c>
      <c r="E26" s="53" t="s">
        <v>36</v>
      </c>
      <c r="F26" s="53" t="s">
        <v>34</v>
      </c>
      <c r="G26" s="53" t="s">
        <v>35</v>
      </c>
      <c r="H26" s="53" t="s">
        <v>36</v>
      </c>
      <c r="I26" s="53" t="s">
        <v>34</v>
      </c>
      <c r="J26" s="53" t="s">
        <v>35</v>
      </c>
      <c r="K26" s="53" t="s">
        <v>36</v>
      </c>
      <c r="L26" s="78" t="s">
        <v>34</v>
      </c>
      <c r="M26" s="78" t="s">
        <v>35</v>
      </c>
      <c r="N26" s="78" t="s">
        <v>36</v>
      </c>
      <c r="O26" s="78" t="s">
        <v>34</v>
      </c>
      <c r="P26" s="78" t="s">
        <v>35</v>
      </c>
      <c r="Q26" s="78" t="s">
        <v>36</v>
      </c>
      <c r="R26" s="78" t="s">
        <v>34</v>
      </c>
      <c r="S26" s="78" t="s">
        <v>35</v>
      </c>
      <c r="T26" s="78" t="s">
        <v>36</v>
      </c>
      <c r="U26" s="78" t="s">
        <v>34</v>
      </c>
      <c r="V26" s="78" t="s">
        <v>35</v>
      </c>
      <c r="W26" s="78" t="s">
        <v>36</v>
      </c>
      <c r="X26" s="53" t="s">
        <v>34</v>
      </c>
      <c r="Y26" s="53" t="s">
        <v>35</v>
      </c>
      <c r="Z26" s="53" t="s">
        <v>36</v>
      </c>
      <c r="AA26" s="53" t="s">
        <v>34</v>
      </c>
      <c r="AB26" s="53" t="s">
        <v>35</v>
      </c>
      <c r="AC26" s="53" t="s">
        <v>36</v>
      </c>
      <c r="AD26" s="53" t="s">
        <v>34</v>
      </c>
      <c r="AE26" s="53" t="s">
        <v>35</v>
      </c>
      <c r="AF26" s="53" t="s">
        <v>36</v>
      </c>
      <c r="AG26" s="53" t="s">
        <v>34</v>
      </c>
      <c r="AH26" s="53" t="s">
        <v>35</v>
      </c>
      <c r="AI26" s="53" t="s">
        <v>36</v>
      </c>
      <c r="AJ26" s="53" t="s">
        <v>34</v>
      </c>
      <c r="AK26" s="53" t="s">
        <v>35</v>
      </c>
      <c r="AL26" s="53" t="s">
        <v>36</v>
      </c>
      <c r="AM26" s="53" t="s">
        <v>34</v>
      </c>
      <c r="AN26" s="53" t="s">
        <v>35</v>
      </c>
      <c r="AO26" s="53" t="s">
        <v>36</v>
      </c>
      <c r="AP26" s="53" t="s">
        <v>34</v>
      </c>
      <c r="AQ26" s="53" t="s">
        <v>35</v>
      </c>
      <c r="AR26" s="53" t="s">
        <v>36</v>
      </c>
    </row>
    <row r="27" spans="1:44" s="27" customFormat="1" ht="47.25" customHeight="1" x14ac:dyDescent="0.25">
      <c r="A27" s="26"/>
      <c r="B27" s="54"/>
      <c r="C27" s="53" t="s">
        <v>9</v>
      </c>
      <c r="D27" s="53" t="s">
        <v>9</v>
      </c>
      <c r="E27" s="53" t="s">
        <v>9</v>
      </c>
      <c r="F27" s="53" t="s">
        <v>10</v>
      </c>
      <c r="G27" s="53" t="s">
        <v>10</v>
      </c>
      <c r="H27" s="53" t="s">
        <v>10</v>
      </c>
      <c r="I27" s="53" t="s">
        <v>11</v>
      </c>
      <c r="J27" s="53" t="s">
        <v>11</v>
      </c>
      <c r="K27" s="53" t="s">
        <v>11</v>
      </c>
      <c r="L27" s="78" t="s">
        <v>12</v>
      </c>
      <c r="M27" s="78" t="s">
        <v>12</v>
      </c>
      <c r="N27" s="78" t="s">
        <v>12</v>
      </c>
      <c r="O27" s="78" t="s">
        <v>13</v>
      </c>
      <c r="P27" s="78" t="s">
        <v>13</v>
      </c>
      <c r="Q27" s="78" t="s">
        <v>13</v>
      </c>
      <c r="R27" s="78" t="s">
        <v>14</v>
      </c>
      <c r="S27" s="78" t="s">
        <v>14</v>
      </c>
      <c r="T27" s="78" t="s">
        <v>14</v>
      </c>
      <c r="U27" s="78" t="s">
        <v>15</v>
      </c>
      <c r="V27" s="78" t="s">
        <v>15</v>
      </c>
      <c r="W27" s="78" t="s">
        <v>15</v>
      </c>
      <c r="X27" s="53" t="s">
        <v>16</v>
      </c>
      <c r="Y27" s="53" t="s">
        <v>16</v>
      </c>
      <c r="Z27" s="53" t="s">
        <v>16</v>
      </c>
      <c r="AA27" s="53" t="s">
        <v>17</v>
      </c>
      <c r="AB27" s="53" t="s">
        <v>17</v>
      </c>
      <c r="AC27" s="53" t="s">
        <v>17</v>
      </c>
      <c r="AD27" s="53" t="s">
        <v>18</v>
      </c>
      <c r="AE27" s="53" t="s">
        <v>18</v>
      </c>
      <c r="AF27" s="53" t="s">
        <v>18</v>
      </c>
      <c r="AG27" s="53" t="s">
        <v>19</v>
      </c>
      <c r="AH27" s="53" t="s">
        <v>19</v>
      </c>
      <c r="AI27" s="53" t="s">
        <v>19</v>
      </c>
      <c r="AJ27" s="53" t="s">
        <v>20</v>
      </c>
      <c r="AK27" s="53" t="s">
        <v>20</v>
      </c>
      <c r="AL27" s="53" t="s">
        <v>20</v>
      </c>
      <c r="AM27" s="53" t="s">
        <v>21</v>
      </c>
      <c r="AN27" s="53" t="s">
        <v>21</v>
      </c>
      <c r="AO27" s="53" t="s">
        <v>21</v>
      </c>
      <c r="AP27" s="53" t="s">
        <v>22</v>
      </c>
      <c r="AQ27" s="53" t="s">
        <v>22</v>
      </c>
      <c r="AR27" s="53" t="s">
        <v>22</v>
      </c>
    </row>
    <row r="28" spans="1:44" s="48" customFormat="1" ht="14.25" customHeight="1" x14ac:dyDescent="0.25">
      <c r="A28" s="47"/>
      <c r="B28" s="50" t="s">
        <v>23</v>
      </c>
      <c r="C28" s="50">
        <v>135000</v>
      </c>
      <c r="D28" s="50">
        <v>130000</v>
      </c>
      <c r="E28" s="50">
        <v>160000</v>
      </c>
      <c r="F28" s="50">
        <v>150000</v>
      </c>
      <c r="G28" s="50">
        <v>140000</v>
      </c>
      <c r="H28" s="50">
        <v>150000</v>
      </c>
      <c r="I28" s="50">
        <v>115000</v>
      </c>
      <c r="J28" s="50">
        <v>140000</v>
      </c>
      <c r="K28" s="50">
        <v>160000</v>
      </c>
      <c r="L28" s="79">
        <v>57</v>
      </c>
      <c r="M28" s="79">
        <v>58</v>
      </c>
      <c r="N28" s="79">
        <v>63</v>
      </c>
      <c r="O28" s="79">
        <v>25</v>
      </c>
      <c r="P28" s="79">
        <v>20</v>
      </c>
      <c r="Q28" s="79">
        <v>25</v>
      </c>
      <c r="R28" s="79">
        <v>10</v>
      </c>
      <c r="S28" s="79">
        <v>11</v>
      </c>
      <c r="T28" s="79">
        <v>18</v>
      </c>
      <c r="U28" s="79">
        <v>9</v>
      </c>
      <c r="V28" s="79">
        <v>12</v>
      </c>
      <c r="W28" s="79">
        <v>14</v>
      </c>
      <c r="X28" s="50">
        <v>4200</v>
      </c>
      <c r="Y28" s="50">
        <v>5000</v>
      </c>
      <c r="Z28" s="50">
        <v>5500</v>
      </c>
      <c r="AA28" s="50">
        <v>420</v>
      </c>
      <c r="AB28" s="50">
        <v>454.55</v>
      </c>
      <c r="AC28" s="50">
        <v>305.56</v>
      </c>
      <c r="AD28" s="50">
        <v>350</v>
      </c>
      <c r="AE28" s="50">
        <v>350</v>
      </c>
      <c r="AF28" s="50">
        <v>350</v>
      </c>
      <c r="AG28" s="50">
        <v>400</v>
      </c>
      <c r="AH28" s="50">
        <v>385</v>
      </c>
      <c r="AI28" s="50">
        <v>390</v>
      </c>
      <c r="AJ28" s="50">
        <v>2192.98</v>
      </c>
      <c r="AK28" s="50">
        <v>2241.38</v>
      </c>
      <c r="AL28" s="50">
        <v>2539.6799999999998</v>
      </c>
      <c r="AM28" s="50">
        <v>2200</v>
      </c>
      <c r="AN28" s="50">
        <v>2100</v>
      </c>
      <c r="AO28" s="50">
        <v>2400</v>
      </c>
      <c r="AP28" s="50">
        <v>2500</v>
      </c>
      <c r="AQ28" s="50">
        <v>2600</v>
      </c>
      <c r="AR28" s="50">
        <v>2400</v>
      </c>
    </row>
    <row r="29" spans="1:44" s="48" customFormat="1" ht="14.25" customHeight="1" x14ac:dyDescent="0.25">
      <c r="A29" s="47"/>
      <c r="B29" s="50" t="s">
        <v>24</v>
      </c>
      <c r="C29" s="50">
        <v>170000</v>
      </c>
      <c r="D29" s="50">
        <v>160000</v>
      </c>
      <c r="E29" s="50">
        <v>185000</v>
      </c>
      <c r="F29" s="50">
        <v>150000</v>
      </c>
      <c r="G29" s="50">
        <v>140000</v>
      </c>
      <c r="H29" s="50">
        <v>150000</v>
      </c>
      <c r="I29" s="50">
        <v>160000</v>
      </c>
      <c r="J29" s="50">
        <v>130000</v>
      </c>
      <c r="K29" s="50">
        <v>125000</v>
      </c>
      <c r="L29" s="79">
        <v>74</v>
      </c>
      <c r="M29" s="79">
        <v>70</v>
      </c>
      <c r="N29" s="79">
        <v>74</v>
      </c>
      <c r="O29" s="79">
        <v>25</v>
      </c>
      <c r="P29" s="79">
        <v>20</v>
      </c>
      <c r="Q29" s="79">
        <v>25</v>
      </c>
      <c r="R29" s="79">
        <v>22</v>
      </c>
      <c r="S29" s="79">
        <v>23</v>
      </c>
      <c r="T29" s="79">
        <v>26</v>
      </c>
      <c r="U29" s="79">
        <v>17</v>
      </c>
      <c r="V29" s="79">
        <v>24</v>
      </c>
      <c r="W29" s="79">
        <v>22</v>
      </c>
      <c r="X29" s="50">
        <v>7800</v>
      </c>
      <c r="Y29" s="50">
        <v>10000</v>
      </c>
      <c r="Z29" s="50">
        <v>9000</v>
      </c>
      <c r="AA29" s="50">
        <v>354.55</v>
      </c>
      <c r="AB29" s="50">
        <v>434.78</v>
      </c>
      <c r="AC29" s="50">
        <v>346.15</v>
      </c>
      <c r="AD29" s="50">
        <v>350</v>
      </c>
      <c r="AE29" s="50">
        <v>350</v>
      </c>
      <c r="AF29" s="50">
        <v>350</v>
      </c>
      <c r="AG29" s="50">
        <v>402</v>
      </c>
      <c r="AH29" s="50">
        <v>290</v>
      </c>
      <c r="AI29" s="50">
        <v>380</v>
      </c>
      <c r="AJ29" s="50">
        <v>2432.4299999999998</v>
      </c>
      <c r="AK29" s="50">
        <v>2285.71</v>
      </c>
      <c r="AL29" s="50">
        <v>2500</v>
      </c>
      <c r="AM29" s="50">
        <v>2100</v>
      </c>
      <c r="AN29" s="50">
        <v>2200</v>
      </c>
      <c r="AO29" s="50">
        <v>2300</v>
      </c>
      <c r="AP29" s="50">
        <v>2500</v>
      </c>
      <c r="AQ29" s="50">
        <v>2600</v>
      </c>
      <c r="AR29" s="50">
        <v>2400</v>
      </c>
    </row>
    <row r="30" spans="1:44" s="48" customFormat="1" ht="14.25" customHeight="1" x14ac:dyDescent="0.25">
      <c r="A30" s="47"/>
      <c r="B30" s="50" t="s">
        <v>25</v>
      </c>
      <c r="C30" s="50">
        <v>175000</v>
      </c>
      <c r="D30" s="50">
        <v>135000</v>
      </c>
      <c r="E30" s="50">
        <v>145000</v>
      </c>
      <c r="F30" s="50">
        <v>150000</v>
      </c>
      <c r="G30" s="50">
        <v>140000</v>
      </c>
      <c r="H30" s="50">
        <v>150000</v>
      </c>
      <c r="I30" s="50">
        <v>170000</v>
      </c>
      <c r="J30" s="50">
        <v>145000</v>
      </c>
      <c r="K30" s="50">
        <v>130000</v>
      </c>
      <c r="L30" s="79">
        <v>70</v>
      </c>
      <c r="M30" s="79">
        <v>55</v>
      </c>
      <c r="N30" s="79">
        <v>61</v>
      </c>
      <c r="O30" s="79">
        <v>25</v>
      </c>
      <c r="P30" s="79">
        <v>20</v>
      </c>
      <c r="Q30" s="79">
        <v>25</v>
      </c>
      <c r="R30" s="79">
        <v>35</v>
      </c>
      <c r="S30" s="79">
        <v>20</v>
      </c>
      <c r="T30" s="79">
        <v>17</v>
      </c>
      <c r="U30" s="79">
        <v>36</v>
      </c>
      <c r="V30" s="79">
        <v>25</v>
      </c>
      <c r="W30" s="79">
        <v>21</v>
      </c>
      <c r="X30" s="50">
        <v>13200</v>
      </c>
      <c r="Y30" s="50">
        <v>9500</v>
      </c>
      <c r="Z30" s="50">
        <v>8300</v>
      </c>
      <c r="AA30" s="50">
        <v>377.14</v>
      </c>
      <c r="AB30" s="50">
        <v>475</v>
      </c>
      <c r="AC30" s="50">
        <v>488.24</v>
      </c>
      <c r="AD30" s="50">
        <v>350</v>
      </c>
      <c r="AE30" s="50">
        <v>350</v>
      </c>
      <c r="AF30" s="50">
        <v>350</v>
      </c>
      <c r="AG30" s="50">
        <v>350</v>
      </c>
      <c r="AH30" s="50">
        <v>385</v>
      </c>
      <c r="AI30" s="50">
        <v>352</v>
      </c>
      <c r="AJ30" s="50">
        <v>2428.5700000000002</v>
      </c>
      <c r="AK30" s="50">
        <v>2454.5500000000002</v>
      </c>
      <c r="AL30" s="50">
        <v>2377.0500000000002</v>
      </c>
      <c r="AM30" s="50">
        <v>2500</v>
      </c>
      <c r="AN30" s="50">
        <v>2500</v>
      </c>
      <c r="AO30" s="50">
        <v>2300</v>
      </c>
      <c r="AP30" s="50">
        <v>2500</v>
      </c>
      <c r="AQ30" s="50">
        <v>2600</v>
      </c>
      <c r="AR30" s="50">
        <v>2400</v>
      </c>
    </row>
    <row r="31" spans="1:44" s="48" customFormat="1" ht="14.25" customHeight="1" x14ac:dyDescent="0.25">
      <c r="A31" s="47"/>
      <c r="B31" s="50" t="s">
        <v>26</v>
      </c>
      <c r="C31" s="50">
        <v>156000</v>
      </c>
      <c r="D31" s="50">
        <v>175000</v>
      </c>
      <c r="E31" s="50">
        <v>155000</v>
      </c>
      <c r="F31" s="50">
        <v>150000</v>
      </c>
      <c r="G31" s="50">
        <v>140000</v>
      </c>
      <c r="H31" s="50">
        <v>150000</v>
      </c>
      <c r="I31" s="50">
        <v>165000</v>
      </c>
      <c r="J31" s="50">
        <v>155000</v>
      </c>
      <c r="K31" s="50">
        <v>140000</v>
      </c>
      <c r="L31" s="79">
        <v>66</v>
      </c>
      <c r="M31" s="79">
        <v>68</v>
      </c>
      <c r="N31" s="79">
        <v>63</v>
      </c>
      <c r="O31" s="79">
        <v>25</v>
      </c>
      <c r="P31" s="79">
        <v>20</v>
      </c>
      <c r="Q31" s="79">
        <v>25</v>
      </c>
      <c r="R31" s="79">
        <v>18</v>
      </c>
      <c r="S31" s="79">
        <v>14</v>
      </c>
      <c r="T31" s="79">
        <v>24</v>
      </c>
      <c r="U31" s="79">
        <v>14</v>
      </c>
      <c r="V31" s="79">
        <v>25</v>
      </c>
      <c r="W31" s="79">
        <v>22</v>
      </c>
      <c r="X31" s="50">
        <v>6500</v>
      </c>
      <c r="Y31" s="50">
        <v>9000</v>
      </c>
      <c r="Z31" s="50">
        <v>8500</v>
      </c>
      <c r="AA31" s="50">
        <v>361.11</v>
      </c>
      <c r="AB31" s="50">
        <v>642.86</v>
      </c>
      <c r="AC31" s="50">
        <v>354.17</v>
      </c>
      <c r="AD31" s="50">
        <v>350</v>
      </c>
      <c r="AE31" s="50">
        <v>350</v>
      </c>
      <c r="AF31" s="50">
        <v>350</v>
      </c>
      <c r="AG31" s="50">
        <v>350</v>
      </c>
      <c r="AH31" s="50">
        <v>360</v>
      </c>
      <c r="AI31" s="50">
        <v>388</v>
      </c>
      <c r="AJ31" s="50">
        <v>2272.73</v>
      </c>
      <c r="AK31" s="50">
        <v>2573.5300000000002</v>
      </c>
      <c r="AL31" s="50">
        <v>2460.3200000000002</v>
      </c>
      <c r="AM31" s="50">
        <v>2200</v>
      </c>
      <c r="AN31" s="50">
        <v>2600</v>
      </c>
      <c r="AO31" s="50">
        <v>2400</v>
      </c>
      <c r="AP31" s="50">
        <v>2500</v>
      </c>
      <c r="AQ31" s="50">
        <v>2600</v>
      </c>
      <c r="AR31" s="50">
        <v>2400</v>
      </c>
    </row>
    <row r="32" spans="1:44" s="48" customFormat="1" ht="14.25" customHeight="1" x14ac:dyDescent="0.25">
      <c r="A32" s="47"/>
      <c r="B32" s="50" t="s">
        <v>27</v>
      </c>
      <c r="C32" s="50">
        <v>135500</v>
      </c>
      <c r="D32" s="50">
        <v>190000</v>
      </c>
      <c r="E32" s="50">
        <v>140000</v>
      </c>
      <c r="F32" s="50">
        <v>150000</v>
      </c>
      <c r="G32" s="50">
        <v>140000</v>
      </c>
      <c r="H32" s="50">
        <v>150000</v>
      </c>
      <c r="I32" s="50">
        <v>155000</v>
      </c>
      <c r="J32" s="50">
        <v>120000</v>
      </c>
      <c r="K32" s="50">
        <v>150000</v>
      </c>
      <c r="L32" s="79">
        <v>71</v>
      </c>
      <c r="M32" s="79">
        <v>62</v>
      </c>
      <c r="N32" s="79">
        <v>51</v>
      </c>
      <c r="O32" s="79">
        <v>25</v>
      </c>
      <c r="P32" s="79">
        <v>20</v>
      </c>
      <c r="Q32" s="79">
        <v>25</v>
      </c>
      <c r="R32" s="79">
        <v>33</v>
      </c>
      <c r="S32" s="79">
        <v>20</v>
      </c>
      <c r="T32" s="79">
        <v>16</v>
      </c>
      <c r="U32" s="79">
        <v>20</v>
      </c>
      <c r="V32" s="79">
        <v>25</v>
      </c>
      <c r="W32" s="79">
        <v>24</v>
      </c>
      <c r="X32" s="50">
        <v>12100</v>
      </c>
      <c r="Y32" s="50">
        <v>10800</v>
      </c>
      <c r="Z32" s="50">
        <v>10500</v>
      </c>
      <c r="AA32" s="50">
        <v>366.67</v>
      </c>
      <c r="AB32" s="50">
        <v>540</v>
      </c>
      <c r="AC32" s="50">
        <v>656.25</v>
      </c>
      <c r="AD32" s="50">
        <v>350</v>
      </c>
      <c r="AE32" s="50">
        <v>350</v>
      </c>
      <c r="AF32" s="50">
        <v>350</v>
      </c>
      <c r="AG32" s="50">
        <v>385</v>
      </c>
      <c r="AH32" s="50">
        <v>350</v>
      </c>
      <c r="AI32" s="50">
        <v>406</v>
      </c>
      <c r="AJ32" s="50">
        <v>1901.41</v>
      </c>
      <c r="AK32" s="50">
        <v>3064.52</v>
      </c>
      <c r="AL32" s="50">
        <v>2745.1</v>
      </c>
      <c r="AM32" s="50">
        <v>2100</v>
      </c>
      <c r="AN32" s="50">
        <v>2800</v>
      </c>
      <c r="AO32" s="50">
        <v>2700</v>
      </c>
      <c r="AP32" s="50">
        <v>2500</v>
      </c>
      <c r="AQ32" s="50">
        <v>2600</v>
      </c>
      <c r="AR32" s="50">
        <v>2400</v>
      </c>
    </row>
    <row r="33" spans="1:44" s="48" customFormat="1" ht="14.25" customHeight="1" x14ac:dyDescent="0.25">
      <c r="A33" s="49"/>
      <c r="B33" s="51" t="s">
        <v>28</v>
      </c>
      <c r="C33" s="51">
        <f t="shared" ref="C33:Z33" si="0">SUM(C28:C32)</f>
        <v>771500</v>
      </c>
      <c r="D33" s="51">
        <f t="shared" si="0"/>
        <v>790000</v>
      </c>
      <c r="E33" s="51">
        <f t="shared" si="0"/>
        <v>785000</v>
      </c>
      <c r="F33" s="51">
        <f t="shared" si="0"/>
        <v>750000</v>
      </c>
      <c r="G33" s="51">
        <f t="shared" si="0"/>
        <v>700000</v>
      </c>
      <c r="H33" s="51">
        <f t="shared" si="0"/>
        <v>750000</v>
      </c>
      <c r="I33" s="51">
        <f t="shared" si="0"/>
        <v>765000</v>
      </c>
      <c r="J33" s="51">
        <f t="shared" si="0"/>
        <v>690000</v>
      </c>
      <c r="K33" s="51">
        <f t="shared" si="0"/>
        <v>705000</v>
      </c>
      <c r="L33" s="80">
        <f t="shared" si="0"/>
        <v>338</v>
      </c>
      <c r="M33" s="80">
        <f t="shared" si="0"/>
        <v>313</v>
      </c>
      <c r="N33" s="80">
        <f t="shared" si="0"/>
        <v>312</v>
      </c>
      <c r="O33" s="80">
        <f t="shared" si="0"/>
        <v>125</v>
      </c>
      <c r="P33" s="80">
        <f t="shared" si="0"/>
        <v>100</v>
      </c>
      <c r="Q33" s="80">
        <f t="shared" si="0"/>
        <v>125</v>
      </c>
      <c r="R33" s="80">
        <f t="shared" si="0"/>
        <v>118</v>
      </c>
      <c r="S33" s="80">
        <f t="shared" si="0"/>
        <v>88</v>
      </c>
      <c r="T33" s="80">
        <f t="shared" si="0"/>
        <v>101</v>
      </c>
      <c r="U33" s="80">
        <f t="shared" si="0"/>
        <v>96</v>
      </c>
      <c r="V33" s="80">
        <f t="shared" si="0"/>
        <v>111</v>
      </c>
      <c r="W33" s="80">
        <f t="shared" si="0"/>
        <v>103</v>
      </c>
      <c r="X33" s="51">
        <f t="shared" si="0"/>
        <v>43800</v>
      </c>
      <c r="Y33" s="51">
        <f t="shared" si="0"/>
        <v>44300</v>
      </c>
      <c r="Z33" s="51">
        <f t="shared" si="0"/>
        <v>41800</v>
      </c>
      <c r="AA33" s="51">
        <f t="shared" ref="AA33:AR33" si="1">AVERAGE(AA28:AA32)</f>
        <v>375.89400000000006</v>
      </c>
      <c r="AB33" s="51">
        <f t="shared" si="1"/>
        <v>509.43799999999999</v>
      </c>
      <c r="AC33" s="51">
        <f t="shared" si="1"/>
        <v>430.07399999999996</v>
      </c>
      <c r="AD33" s="51">
        <f t="shared" si="1"/>
        <v>350</v>
      </c>
      <c r="AE33" s="51">
        <f t="shared" si="1"/>
        <v>350</v>
      </c>
      <c r="AF33" s="51">
        <f t="shared" si="1"/>
        <v>350</v>
      </c>
      <c r="AG33" s="51">
        <f t="shared" si="1"/>
        <v>377.4</v>
      </c>
      <c r="AH33" s="51">
        <f t="shared" si="1"/>
        <v>354</v>
      </c>
      <c r="AI33" s="51">
        <f t="shared" si="1"/>
        <v>383.2</v>
      </c>
      <c r="AJ33" s="51">
        <f t="shared" si="1"/>
        <v>2245.6239999999998</v>
      </c>
      <c r="AK33" s="51">
        <f t="shared" si="1"/>
        <v>2523.9380000000001</v>
      </c>
      <c r="AL33" s="51">
        <f t="shared" si="1"/>
        <v>2524.4300000000003</v>
      </c>
      <c r="AM33" s="51">
        <f t="shared" si="1"/>
        <v>2220</v>
      </c>
      <c r="AN33" s="51">
        <f t="shared" si="1"/>
        <v>2440</v>
      </c>
      <c r="AO33" s="51">
        <f t="shared" si="1"/>
        <v>2420</v>
      </c>
      <c r="AP33" s="51">
        <f t="shared" si="1"/>
        <v>2500</v>
      </c>
      <c r="AQ33" s="51">
        <f t="shared" si="1"/>
        <v>2600</v>
      </c>
      <c r="AR33" s="51">
        <f t="shared" si="1"/>
        <v>2400</v>
      </c>
    </row>
    <row r="34" spans="1:44" ht="14.2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 spans="1:44" ht="14.25" customHeight="1" x14ac:dyDescent="0.25">
      <c r="A35" s="13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</row>
    <row r="36" spans="1:44" ht="14.25" customHeight="1" x14ac:dyDescent="0.25">
      <c r="A36" s="13"/>
      <c r="B36" s="18"/>
      <c r="C36" s="56" t="s">
        <v>37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</row>
    <row r="37" spans="1:44" s="27" customFormat="1" ht="17.25" customHeight="1" x14ac:dyDescent="0.25">
      <c r="A37" s="26"/>
      <c r="B37" s="54"/>
      <c r="C37" s="53" t="s">
        <v>38</v>
      </c>
      <c r="D37" s="53" t="s">
        <v>39</v>
      </c>
      <c r="E37" s="53" t="s">
        <v>40</v>
      </c>
      <c r="F37" s="53" t="s">
        <v>38</v>
      </c>
      <c r="G37" s="53" t="s">
        <v>39</v>
      </c>
      <c r="H37" s="53" t="s">
        <v>40</v>
      </c>
      <c r="I37" s="53" t="s">
        <v>38</v>
      </c>
      <c r="J37" s="53" t="s">
        <v>39</v>
      </c>
      <c r="K37" s="53" t="s">
        <v>40</v>
      </c>
      <c r="L37" s="78" t="s">
        <v>38</v>
      </c>
      <c r="M37" s="78" t="s">
        <v>39</v>
      </c>
      <c r="N37" s="78" t="s">
        <v>40</v>
      </c>
      <c r="O37" s="78" t="s">
        <v>38</v>
      </c>
      <c r="P37" s="78" t="s">
        <v>39</v>
      </c>
      <c r="Q37" s="78" t="s">
        <v>40</v>
      </c>
      <c r="R37" s="78" t="s">
        <v>38</v>
      </c>
      <c r="S37" s="78" t="s">
        <v>39</v>
      </c>
      <c r="T37" s="78" t="s">
        <v>40</v>
      </c>
      <c r="U37" s="78" t="s">
        <v>38</v>
      </c>
      <c r="V37" s="78" t="s">
        <v>39</v>
      </c>
      <c r="W37" s="78" t="s">
        <v>40</v>
      </c>
      <c r="X37" s="53" t="s">
        <v>38</v>
      </c>
      <c r="Y37" s="53" t="s">
        <v>39</v>
      </c>
      <c r="Z37" s="53" t="s">
        <v>40</v>
      </c>
      <c r="AA37" s="53" t="s">
        <v>38</v>
      </c>
      <c r="AB37" s="53" t="s">
        <v>39</v>
      </c>
      <c r="AC37" s="53" t="s">
        <v>40</v>
      </c>
      <c r="AD37" s="53" t="s">
        <v>38</v>
      </c>
      <c r="AE37" s="53" t="s">
        <v>39</v>
      </c>
      <c r="AF37" s="53" t="s">
        <v>40</v>
      </c>
      <c r="AG37" s="53" t="s">
        <v>38</v>
      </c>
      <c r="AH37" s="53" t="s">
        <v>39</v>
      </c>
      <c r="AI37" s="53" t="s">
        <v>40</v>
      </c>
      <c r="AJ37" s="53" t="s">
        <v>38</v>
      </c>
      <c r="AK37" s="53" t="s">
        <v>39</v>
      </c>
      <c r="AL37" s="53" t="s">
        <v>40</v>
      </c>
      <c r="AM37" s="53" t="s">
        <v>38</v>
      </c>
      <c r="AN37" s="53" t="s">
        <v>39</v>
      </c>
      <c r="AO37" s="53" t="s">
        <v>40</v>
      </c>
      <c r="AP37" s="53" t="s">
        <v>38</v>
      </c>
      <c r="AQ37" s="53" t="s">
        <v>39</v>
      </c>
      <c r="AR37" s="53" t="s">
        <v>40</v>
      </c>
    </row>
    <row r="38" spans="1:44" s="27" customFormat="1" ht="43.5" customHeight="1" x14ac:dyDescent="0.25">
      <c r="A38" s="26"/>
      <c r="B38" s="54"/>
      <c r="C38" s="53" t="s">
        <v>9</v>
      </c>
      <c r="D38" s="53" t="s">
        <v>9</v>
      </c>
      <c r="E38" s="53" t="s">
        <v>9</v>
      </c>
      <c r="F38" s="53" t="s">
        <v>10</v>
      </c>
      <c r="G38" s="53" t="s">
        <v>10</v>
      </c>
      <c r="H38" s="53" t="s">
        <v>10</v>
      </c>
      <c r="I38" s="53" t="s">
        <v>11</v>
      </c>
      <c r="J38" s="53" t="s">
        <v>11</v>
      </c>
      <c r="K38" s="53" t="s">
        <v>11</v>
      </c>
      <c r="L38" s="78" t="s">
        <v>12</v>
      </c>
      <c r="M38" s="78" t="s">
        <v>12</v>
      </c>
      <c r="N38" s="78" t="s">
        <v>12</v>
      </c>
      <c r="O38" s="78" t="s">
        <v>13</v>
      </c>
      <c r="P38" s="78" t="s">
        <v>13</v>
      </c>
      <c r="Q38" s="78" t="s">
        <v>13</v>
      </c>
      <c r="R38" s="78" t="s">
        <v>14</v>
      </c>
      <c r="S38" s="78" t="s">
        <v>14</v>
      </c>
      <c r="T38" s="78" t="s">
        <v>14</v>
      </c>
      <c r="U38" s="78" t="s">
        <v>15</v>
      </c>
      <c r="V38" s="78" t="s">
        <v>15</v>
      </c>
      <c r="W38" s="78" t="s">
        <v>15</v>
      </c>
      <c r="X38" s="53" t="s">
        <v>16</v>
      </c>
      <c r="Y38" s="53" t="s">
        <v>16</v>
      </c>
      <c r="Z38" s="53" t="s">
        <v>16</v>
      </c>
      <c r="AA38" s="53" t="s">
        <v>17</v>
      </c>
      <c r="AB38" s="53" t="s">
        <v>17</v>
      </c>
      <c r="AC38" s="53" t="s">
        <v>17</v>
      </c>
      <c r="AD38" s="53" t="s">
        <v>18</v>
      </c>
      <c r="AE38" s="53" t="s">
        <v>18</v>
      </c>
      <c r="AF38" s="53" t="s">
        <v>18</v>
      </c>
      <c r="AG38" s="53" t="s">
        <v>19</v>
      </c>
      <c r="AH38" s="53" t="s">
        <v>19</v>
      </c>
      <c r="AI38" s="53" t="s">
        <v>19</v>
      </c>
      <c r="AJ38" s="53" t="s">
        <v>20</v>
      </c>
      <c r="AK38" s="53" t="s">
        <v>20</v>
      </c>
      <c r="AL38" s="53" t="s">
        <v>20</v>
      </c>
      <c r="AM38" s="53" t="s">
        <v>21</v>
      </c>
      <c r="AN38" s="53" t="s">
        <v>21</v>
      </c>
      <c r="AO38" s="53" t="s">
        <v>21</v>
      </c>
      <c r="AP38" s="53" t="s">
        <v>22</v>
      </c>
      <c r="AQ38" s="53" t="s">
        <v>22</v>
      </c>
      <c r="AR38" s="53" t="s">
        <v>22</v>
      </c>
    </row>
    <row r="39" spans="1:44" ht="14.25" customHeight="1" x14ac:dyDescent="0.25">
      <c r="A39" s="19"/>
      <c r="B39" s="55" t="s">
        <v>23</v>
      </c>
      <c r="C39" s="55">
        <v>130000</v>
      </c>
      <c r="D39" s="55">
        <v>135000</v>
      </c>
      <c r="E39" s="55">
        <v>150000</v>
      </c>
      <c r="F39" s="55">
        <v>150000</v>
      </c>
      <c r="G39" s="55">
        <v>160000</v>
      </c>
      <c r="H39" s="55">
        <v>140000</v>
      </c>
      <c r="I39" s="55">
        <v>125000</v>
      </c>
      <c r="J39" s="55">
        <v>160000</v>
      </c>
      <c r="K39" s="55">
        <v>135000</v>
      </c>
      <c r="L39" s="81">
        <v>58</v>
      </c>
      <c r="M39" s="81">
        <v>63</v>
      </c>
      <c r="N39" s="81">
        <v>55</v>
      </c>
      <c r="O39" s="81">
        <v>30</v>
      </c>
      <c r="P39" s="81">
        <v>30</v>
      </c>
      <c r="Q39" s="81">
        <v>25</v>
      </c>
      <c r="R39" s="81">
        <v>12</v>
      </c>
      <c r="S39" s="81">
        <v>25</v>
      </c>
      <c r="T39" s="81">
        <v>11</v>
      </c>
      <c r="U39" s="81">
        <v>11</v>
      </c>
      <c r="V39" s="81">
        <v>21</v>
      </c>
      <c r="W39" s="81">
        <v>14</v>
      </c>
      <c r="X39" s="55">
        <v>5000</v>
      </c>
      <c r="Y39" s="55">
        <v>4500</v>
      </c>
      <c r="Z39" s="55">
        <v>5000</v>
      </c>
      <c r="AA39" s="55">
        <v>416.67</v>
      </c>
      <c r="AB39" s="55">
        <v>180</v>
      </c>
      <c r="AC39" s="55">
        <v>454.55</v>
      </c>
      <c r="AD39" s="55">
        <v>400</v>
      </c>
      <c r="AE39" s="55">
        <v>350</v>
      </c>
      <c r="AF39" s="55">
        <v>350</v>
      </c>
      <c r="AG39" s="55">
        <v>400</v>
      </c>
      <c r="AH39" s="55">
        <v>385</v>
      </c>
      <c r="AI39" s="55">
        <v>390</v>
      </c>
      <c r="AJ39" s="55">
        <v>2068.9699999999998</v>
      </c>
      <c r="AK39" s="55">
        <v>2142.86</v>
      </c>
      <c r="AL39" s="55">
        <v>2727.27</v>
      </c>
      <c r="AM39" s="55">
        <v>2100</v>
      </c>
      <c r="AN39" s="55">
        <v>2000</v>
      </c>
      <c r="AO39" s="55">
        <v>2600</v>
      </c>
      <c r="AP39" s="55">
        <v>2700</v>
      </c>
      <c r="AQ39" s="55">
        <v>2500</v>
      </c>
      <c r="AR39" s="55">
        <v>2600</v>
      </c>
    </row>
    <row r="40" spans="1:44" ht="14.25" customHeight="1" x14ac:dyDescent="0.25">
      <c r="A40" s="19"/>
      <c r="B40" s="50" t="s">
        <v>24</v>
      </c>
      <c r="C40" s="50">
        <v>175000</v>
      </c>
      <c r="D40" s="50">
        <v>155000</v>
      </c>
      <c r="E40" s="50">
        <v>190000</v>
      </c>
      <c r="F40" s="50">
        <v>150000</v>
      </c>
      <c r="G40" s="50">
        <v>160000</v>
      </c>
      <c r="H40" s="50">
        <v>140000</v>
      </c>
      <c r="I40" s="50">
        <v>145000</v>
      </c>
      <c r="J40" s="50">
        <v>125000</v>
      </c>
      <c r="K40" s="50">
        <v>125000</v>
      </c>
      <c r="L40" s="79">
        <v>70</v>
      </c>
      <c r="M40" s="79">
        <v>74</v>
      </c>
      <c r="N40" s="79">
        <v>65</v>
      </c>
      <c r="O40" s="79">
        <v>30</v>
      </c>
      <c r="P40" s="79">
        <v>30</v>
      </c>
      <c r="Q40" s="79">
        <v>25</v>
      </c>
      <c r="R40" s="79">
        <v>26</v>
      </c>
      <c r="S40" s="79">
        <v>18</v>
      </c>
      <c r="T40" s="79">
        <v>23</v>
      </c>
      <c r="U40" s="79">
        <v>17</v>
      </c>
      <c r="V40" s="79">
        <v>18</v>
      </c>
      <c r="W40" s="79">
        <v>15</v>
      </c>
      <c r="X40" s="50">
        <v>9800</v>
      </c>
      <c r="Y40" s="50">
        <v>9800</v>
      </c>
      <c r="Z40" s="50">
        <v>6500</v>
      </c>
      <c r="AA40" s="50">
        <v>376.92</v>
      </c>
      <c r="AB40" s="50">
        <v>544.44000000000005</v>
      </c>
      <c r="AC40" s="50">
        <v>282.61</v>
      </c>
      <c r="AD40" s="50">
        <v>400</v>
      </c>
      <c r="AE40" s="50">
        <v>350</v>
      </c>
      <c r="AF40" s="50">
        <v>350</v>
      </c>
      <c r="AG40" s="50">
        <v>402</v>
      </c>
      <c r="AH40" s="50">
        <v>290</v>
      </c>
      <c r="AI40" s="50">
        <v>380</v>
      </c>
      <c r="AJ40" s="50">
        <v>2500</v>
      </c>
      <c r="AK40" s="50">
        <v>2094.59</v>
      </c>
      <c r="AL40" s="50">
        <v>2923.08</v>
      </c>
      <c r="AM40" s="50">
        <v>2200</v>
      </c>
      <c r="AN40" s="50">
        <v>2000</v>
      </c>
      <c r="AO40" s="50">
        <v>2200</v>
      </c>
      <c r="AP40" s="50">
        <v>2700</v>
      </c>
      <c r="AQ40" s="50">
        <v>2500</v>
      </c>
      <c r="AR40" s="50">
        <v>2600</v>
      </c>
    </row>
    <row r="41" spans="1:44" ht="14.25" customHeight="1" x14ac:dyDescent="0.25">
      <c r="A41" s="19"/>
      <c r="B41" s="50" t="s">
        <v>25</v>
      </c>
      <c r="C41" s="50">
        <v>180000</v>
      </c>
      <c r="D41" s="50">
        <v>145000</v>
      </c>
      <c r="E41" s="50">
        <v>155000</v>
      </c>
      <c r="F41" s="50">
        <v>150000</v>
      </c>
      <c r="G41" s="50">
        <v>160000</v>
      </c>
      <c r="H41" s="50">
        <v>140000</v>
      </c>
      <c r="I41" s="50">
        <v>155000</v>
      </c>
      <c r="J41" s="50">
        <v>130000</v>
      </c>
      <c r="K41" s="50">
        <v>125000</v>
      </c>
      <c r="L41" s="79">
        <v>55</v>
      </c>
      <c r="M41" s="79">
        <v>61</v>
      </c>
      <c r="N41" s="79">
        <v>44</v>
      </c>
      <c r="O41" s="79">
        <v>30</v>
      </c>
      <c r="P41" s="79">
        <v>30</v>
      </c>
      <c r="Q41" s="79">
        <v>25</v>
      </c>
      <c r="R41" s="79">
        <v>31</v>
      </c>
      <c r="S41" s="79">
        <v>25</v>
      </c>
      <c r="T41" s="79">
        <v>20</v>
      </c>
      <c r="U41" s="79">
        <v>25</v>
      </c>
      <c r="V41" s="79">
        <v>21</v>
      </c>
      <c r="W41" s="79">
        <v>22</v>
      </c>
      <c r="X41" s="50">
        <v>9500</v>
      </c>
      <c r="Y41" s="50">
        <v>10200</v>
      </c>
      <c r="Z41" s="50">
        <v>8000</v>
      </c>
      <c r="AA41" s="50">
        <v>306.45</v>
      </c>
      <c r="AB41" s="50">
        <v>408</v>
      </c>
      <c r="AC41" s="50">
        <v>400</v>
      </c>
      <c r="AD41" s="50">
        <v>400</v>
      </c>
      <c r="AE41" s="50">
        <v>350</v>
      </c>
      <c r="AF41" s="50">
        <v>350</v>
      </c>
      <c r="AG41" s="50">
        <v>350</v>
      </c>
      <c r="AH41" s="50">
        <v>385</v>
      </c>
      <c r="AI41" s="50">
        <v>352</v>
      </c>
      <c r="AJ41" s="50">
        <v>3272.73</v>
      </c>
      <c r="AK41" s="50">
        <v>2377.0500000000002</v>
      </c>
      <c r="AL41" s="50">
        <v>3522.73</v>
      </c>
      <c r="AM41" s="50">
        <v>3000</v>
      </c>
      <c r="AN41" s="50">
        <v>2200</v>
      </c>
      <c r="AO41" s="50">
        <v>2100</v>
      </c>
      <c r="AP41" s="50">
        <v>2700</v>
      </c>
      <c r="AQ41" s="50">
        <v>2500</v>
      </c>
      <c r="AR41" s="50">
        <v>2600</v>
      </c>
    </row>
    <row r="42" spans="1:44" ht="14.25" customHeight="1" x14ac:dyDescent="0.25">
      <c r="A42" s="19"/>
      <c r="B42" s="50" t="s">
        <v>26</v>
      </c>
      <c r="C42" s="50">
        <v>160000</v>
      </c>
      <c r="D42" s="50">
        <v>180000</v>
      </c>
      <c r="E42" s="50">
        <v>175000</v>
      </c>
      <c r="F42" s="50">
        <v>150000</v>
      </c>
      <c r="G42" s="50">
        <v>160000</v>
      </c>
      <c r="H42" s="50">
        <v>140000</v>
      </c>
      <c r="I42" s="50">
        <v>145000</v>
      </c>
      <c r="J42" s="50">
        <v>140000</v>
      </c>
      <c r="K42" s="50">
        <v>160000</v>
      </c>
      <c r="L42" s="79">
        <v>68</v>
      </c>
      <c r="M42" s="79">
        <v>63</v>
      </c>
      <c r="N42" s="79">
        <v>50</v>
      </c>
      <c r="O42" s="79">
        <v>30</v>
      </c>
      <c r="P42" s="79">
        <v>30</v>
      </c>
      <c r="Q42" s="79">
        <v>25</v>
      </c>
      <c r="R42" s="79">
        <v>28</v>
      </c>
      <c r="S42" s="79">
        <v>15</v>
      </c>
      <c r="T42" s="79">
        <v>14</v>
      </c>
      <c r="U42" s="79">
        <v>17</v>
      </c>
      <c r="V42" s="79">
        <v>18</v>
      </c>
      <c r="W42" s="79">
        <v>21</v>
      </c>
      <c r="X42" s="50">
        <v>9000</v>
      </c>
      <c r="Y42" s="50">
        <v>5600</v>
      </c>
      <c r="Z42" s="50">
        <v>7000</v>
      </c>
      <c r="AA42" s="50">
        <v>321.43</v>
      </c>
      <c r="AB42" s="50">
        <v>373.33</v>
      </c>
      <c r="AC42" s="50">
        <v>500</v>
      </c>
      <c r="AD42" s="50">
        <v>400</v>
      </c>
      <c r="AE42" s="50">
        <v>350</v>
      </c>
      <c r="AF42" s="50">
        <v>350</v>
      </c>
      <c r="AG42" s="50">
        <v>350</v>
      </c>
      <c r="AH42" s="50">
        <v>360</v>
      </c>
      <c r="AI42" s="50">
        <v>388</v>
      </c>
      <c r="AJ42" s="50">
        <v>2352.94</v>
      </c>
      <c r="AK42" s="50">
        <v>2857.14</v>
      </c>
      <c r="AL42" s="50">
        <v>3500</v>
      </c>
      <c r="AM42" s="50">
        <v>2200</v>
      </c>
      <c r="AN42" s="50">
        <v>2450</v>
      </c>
      <c r="AO42" s="50">
        <v>3300</v>
      </c>
      <c r="AP42" s="50">
        <v>2700</v>
      </c>
      <c r="AQ42" s="50">
        <v>2500</v>
      </c>
      <c r="AR42" s="50">
        <v>2600</v>
      </c>
    </row>
    <row r="43" spans="1:44" ht="14.25" customHeight="1" x14ac:dyDescent="0.25">
      <c r="A43" s="19"/>
      <c r="B43" s="50" t="s">
        <v>27</v>
      </c>
      <c r="C43" s="50">
        <v>205000</v>
      </c>
      <c r="D43" s="50">
        <v>195000</v>
      </c>
      <c r="E43" s="50">
        <v>125000</v>
      </c>
      <c r="F43" s="50">
        <v>150000</v>
      </c>
      <c r="G43" s="50">
        <v>160000</v>
      </c>
      <c r="H43" s="50">
        <v>140000</v>
      </c>
      <c r="I43" s="50">
        <v>125000</v>
      </c>
      <c r="J43" s="50">
        <v>150000</v>
      </c>
      <c r="K43" s="50">
        <v>145000</v>
      </c>
      <c r="L43" s="79">
        <v>62</v>
      </c>
      <c r="M43" s="79">
        <v>51</v>
      </c>
      <c r="N43" s="79">
        <v>35</v>
      </c>
      <c r="O43" s="79">
        <v>30</v>
      </c>
      <c r="P43" s="79">
        <v>30</v>
      </c>
      <c r="Q43" s="79">
        <v>25</v>
      </c>
      <c r="R43" s="79">
        <v>25</v>
      </c>
      <c r="S43" s="79">
        <v>18</v>
      </c>
      <c r="T43" s="79">
        <v>20</v>
      </c>
      <c r="U43" s="79">
        <v>20</v>
      </c>
      <c r="V43" s="79">
        <v>13</v>
      </c>
      <c r="W43" s="79">
        <v>20</v>
      </c>
      <c r="X43" s="50">
        <v>10800</v>
      </c>
      <c r="Y43" s="50">
        <v>9500</v>
      </c>
      <c r="Z43" s="50">
        <v>9000</v>
      </c>
      <c r="AA43" s="50">
        <v>432</v>
      </c>
      <c r="AB43" s="50">
        <v>527.78</v>
      </c>
      <c r="AC43" s="50">
        <v>450</v>
      </c>
      <c r="AD43" s="50">
        <v>400</v>
      </c>
      <c r="AE43" s="50">
        <v>350</v>
      </c>
      <c r="AF43" s="50">
        <v>350</v>
      </c>
      <c r="AG43" s="50">
        <v>385</v>
      </c>
      <c r="AH43" s="50">
        <v>350</v>
      </c>
      <c r="AI43" s="50">
        <v>406</v>
      </c>
      <c r="AJ43" s="50">
        <v>3306.45</v>
      </c>
      <c r="AK43" s="50">
        <v>3823.53</v>
      </c>
      <c r="AL43" s="50">
        <v>3571.43</v>
      </c>
      <c r="AM43" s="50">
        <v>2900</v>
      </c>
      <c r="AN43" s="50">
        <v>3100</v>
      </c>
      <c r="AO43" s="50">
        <v>3100</v>
      </c>
      <c r="AP43" s="50">
        <v>2700</v>
      </c>
      <c r="AQ43" s="50">
        <v>2500</v>
      </c>
      <c r="AR43" s="50">
        <v>2600</v>
      </c>
    </row>
    <row r="44" spans="1:44" ht="14.25" customHeight="1" x14ac:dyDescent="0.25">
      <c r="A44" s="20"/>
      <c r="B44" s="51" t="s">
        <v>28</v>
      </c>
      <c r="C44" s="51">
        <f t="shared" ref="C44:Z44" si="2">SUM(C39:C43)</f>
        <v>850000</v>
      </c>
      <c r="D44" s="51">
        <f t="shared" si="2"/>
        <v>810000</v>
      </c>
      <c r="E44" s="51">
        <f t="shared" si="2"/>
        <v>795000</v>
      </c>
      <c r="F44" s="51">
        <f t="shared" si="2"/>
        <v>750000</v>
      </c>
      <c r="G44" s="51">
        <f t="shared" si="2"/>
        <v>800000</v>
      </c>
      <c r="H44" s="51">
        <f t="shared" si="2"/>
        <v>700000</v>
      </c>
      <c r="I44" s="51">
        <f t="shared" si="2"/>
        <v>695000</v>
      </c>
      <c r="J44" s="51">
        <f t="shared" si="2"/>
        <v>705000</v>
      </c>
      <c r="K44" s="51">
        <f t="shared" si="2"/>
        <v>690000</v>
      </c>
      <c r="L44" s="80">
        <f t="shared" si="2"/>
        <v>313</v>
      </c>
      <c r="M44" s="80">
        <f t="shared" si="2"/>
        <v>312</v>
      </c>
      <c r="N44" s="80">
        <f t="shared" si="2"/>
        <v>249</v>
      </c>
      <c r="O44" s="80">
        <f t="shared" si="2"/>
        <v>150</v>
      </c>
      <c r="P44" s="80">
        <f t="shared" si="2"/>
        <v>150</v>
      </c>
      <c r="Q44" s="80">
        <f t="shared" si="2"/>
        <v>125</v>
      </c>
      <c r="R44" s="80">
        <f t="shared" si="2"/>
        <v>122</v>
      </c>
      <c r="S44" s="80">
        <f t="shared" si="2"/>
        <v>101</v>
      </c>
      <c r="T44" s="80">
        <f t="shared" si="2"/>
        <v>88</v>
      </c>
      <c r="U44" s="80">
        <f t="shared" si="2"/>
        <v>90</v>
      </c>
      <c r="V44" s="80">
        <f t="shared" si="2"/>
        <v>91</v>
      </c>
      <c r="W44" s="80">
        <f t="shared" si="2"/>
        <v>92</v>
      </c>
      <c r="X44" s="51">
        <f t="shared" si="2"/>
        <v>44100</v>
      </c>
      <c r="Y44" s="51">
        <f t="shared" si="2"/>
        <v>39600</v>
      </c>
      <c r="Z44" s="51">
        <f t="shared" si="2"/>
        <v>35500</v>
      </c>
      <c r="AA44" s="51">
        <f t="shared" ref="AA44:AR44" si="3">AVERAGE(AA39:AA43)</f>
        <v>370.69400000000002</v>
      </c>
      <c r="AB44" s="51">
        <f t="shared" si="3"/>
        <v>406.71</v>
      </c>
      <c r="AC44" s="51">
        <f t="shared" si="3"/>
        <v>417.43199999999996</v>
      </c>
      <c r="AD44" s="51">
        <f t="shared" si="3"/>
        <v>400</v>
      </c>
      <c r="AE44" s="51">
        <f t="shared" si="3"/>
        <v>350</v>
      </c>
      <c r="AF44" s="51">
        <f t="shared" si="3"/>
        <v>350</v>
      </c>
      <c r="AG44" s="51">
        <f t="shared" si="3"/>
        <v>377.4</v>
      </c>
      <c r="AH44" s="51">
        <f t="shared" si="3"/>
        <v>354</v>
      </c>
      <c r="AI44" s="51">
        <f t="shared" si="3"/>
        <v>383.2</v>
      </c>
      <c r="AJ44" s="51">
        <f t="shared" si="3"/>
        <v>2700.2179999999998</v>
      </c>
      <c r="AK44" s="51">
        <f t="shared" si="3"/>
        <v>2659.0340000000006</v>
      </c>
      <c r="AL44" s="51">
        <f t="shared" si="3"/>
        <v>3248.902</v>
      </c>
      <c r="AM44" s="51">
        <f t="shared" si="3"/>
        <v>2480</v>
      </c>
      <c r="AN44" s="51">
        <f t="shared" si="3"/>
        <v>2350</v>
      </c>
      <c r="AO44" s="51">
        <f t="shared" si="3"/>
        <v>2660</v>
      </c>
      <c r="AP44" s="51">
        <f t="shared" si="3"/>
        <v>2700</v>
      </c>
      <c r="AQ44" s="51">
        <f t="shared" si="3"/>
        <v>2500</v>
      </c>
      <c r="AR44" s="51">
        <f t="shared" si="3"/>
        <v>2600</v>
      </c>
    </row>
    <row r="45" spans="1:44" ht="14.2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 spans="1:44" ht="14.25" customHeight="1" x14ac:dyDescent="0.25">
      <c r="A46" s="13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spans="1:44" ht="14.25" customHeight="1" x14ac:dyDescent="0.3">
      <c r="A47" s="13"/>
      <c r="B47" s="18"/>
      <c r="C47" s="56" t="s">
        <v>41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</row>
    <row r="48" spans="1:44" ht="14.25" customHeight="1" x14ac:dyDescent="0.25">
      <c r="A48" s="13"/>
      <c r="B48" s="54"/>
      <c r="C48" s="53" t="s">
        <v>42</v>
      </c>
      <c r="D48" s="53" t="s">
        <v>43</v>
      </c>
      <c r="E48" s="53" t="s">
        <v>44</v>
      </c>
      <c r="F48" s="53" t="s">
        <v>42</v>
      </c>
      <c r="G48" s="53" t="s">
        <v>43</v>
      </c>
      <c r="H48" s="53" t="s">
        <v>44</v>
      </c>
      <c r="I48" s="53" t="s">
        <v>42</v>
      </c>
      <c r="J48" s="53" t="s">
        <v>43</v>
      </c>
      <c r="K48" s="53" t="s">
        <v>44</v>
      </c>
      <c r="L48" s="78" t="s">
        <v>42</v>
      </c>
      <c r="M48" s="78" t="s">
        <v>43</v>
      </c>
      <c r="N48" s="78" t="s">
        <v>44</v>
      </c>
      <c r="O48" s="78" t="s">
        <v>42</v>
      </c>
      <c r="P48" s="78" t="s">
        <v>43</v>
      </c>
      <c r="Q48" s="78" t="s">
        <v>44</v>
      </c>
      <c r="R48" s="78" t="s">
        <v>42</v>
      </c>
      <c r="S48" s="78" t="s">
        <v>43</v>
      </c>
      <c r="T48" s="78" t="s">
        <v>44</v>
      </c>
      <c r="U48" s="78" t="s">
        <v>42</v>
      </c>
      <c r="V48" s="78" t="s">
        <v>43</v>
      </c>
      <c r="W48" s="78" t="s">
        <v>44</v>
      </c>
      <c r="X48" s="53" t="s">
        <v>42</v>
      </c>
      <c r="Y48" s="53" t="s">
        <v>43</v>
      </c>
      <c r="Z48" s="53" t="s">
        <v>44</v>
      </c>
      <c r="AA48" s="53" t="s">
        <v>42</v>
      </c>
      <c r="AB48" s="53" t="s">
        <v>43</v>
      </c>
      <c r="AC48" s="53" t="s">
        <v>44</v>
      </c>
      <c r="AD48" s="53" t="s">
        <v>42</v>
      </c>
      <c r="AE48" s="53" t="s">
        <v>43</v>
      </c>
      <c r="AF48" s="53" t="s">
        <v>44</v>
      </c>
      <c r="AG48" s="53" t="s">
        <v>42</v>
      </c>
      <c r="AH48" s="53" t="s">
        <v>43</v>
      </c>
      <c r="AI48" s="53" t="s">
        <v>44</v>
      </c>
      <c r="AJ48" s="53" t="s">
        <v>42</v>
      </c>
      <c r="AK48" s="53" t="s">
        <v>43</v>
      </c>
      <c r="AL48" s="53" t="s">
        <v>44</v>
      </c>
      <c r="AM48" s="53" t="s">
        <v>42</v>
      </c>
      <c r="AN48" s="53" t="s">
        <v>43</v>
      </c>
      <c r="AO48" s="53" t="s">
        <v>44</v>
      </c>
      <c r="AP48" s="53" t="s">
        <v>42</v>
      </c>
      <c r="AQ48" s="53" t="s">
        <v>43</v>
      </c>
      <c r="AR48" s="53" t="s">
        <v>44</v>
      </c>
    </row>
    <row r="49" spans="1:44" ht="48" customHeight="1" x14ac:dyDescent="0.25">
      <c r="A49" s="13"/>
      <c r="B49" s="54"/>
      <c r="C49" s="53" t="s">
        <v>9</v>
      </c>
      <c r="D49" s="53" t="s">
        <v>9</v>
      </c>
      <c r="E49" s="53" t="s">
        <v>9</v>
      </c>
      <c r="F49" s="53" t="s">
        <v>10</v>
      </c>
      <c r="G49" s="53" t="s">
        <v>10</v>
      </c>
      <c r="H49" s="53" t="s">
        <v>10</v>
      </c>
      <c r="I49" s="53" t="s">
        <v>11</v>
      </c>
      <c r="J49" s="53" t="s">
        <v>11</v>
      </c>
      <c r="K49" s="53" t="s">
        <v>11</v>
      </c>
      <c r="L49" s="78" t="s">
        <v>12</v>
      </c>
      <c r="M49" s="78" t="s">
        <v>12</v>
      </c>
      <c r="N49" s="78" t="s">
        <v>12</v>
      </c>
      <c r="O49" s="78" t="s">
        <v>13</v>
      </c>
      <c r="P49" s="78" t="s">
        <v>13</v>
      </c>
      <c r="Q49" s="78" t="s">
        <v>13</v>
      </c>
      <c r="R49" s="78" t="s">
        <v>14</v>
      </c>
      <c r="S49" s="78" t="s">
        <v>14</v>
      </c>
      <c r="T49" s="78" t="s">
        <v>14</v>
      </c>
      <c r="U49" s="78" t="s">
        <v>15</v>
      </c>
      <c r="V49" s="78" t="s">
        <v>15</v>
      </c>
      <c r="W49" s="78" t="s">
        <v>15</v>
      </c>
      <c r="X49" s="53" t="s">
        <v>16</v>
      </c>
      <c r="Y49" s="53" t="s">
        <v>16</v>
      </c>
      <c r="Z49" s="53" t="s">
        <v>16</v>
      </c>
      <c r="AA49" s="53" t="s">
        <v>17</v>
      </c>
      <c r="AB49" s="53" t="s">
        <v>17</v>
      </c>
      <c r="AC49" s="53" t="s">
        <v>17</v>
      </c>
      <c r="AD49" s="53" t="s">
        <v>18</v>
      </c>
      <c r="AE49" s="53" t="s">
        <v>18</v>
      </c>
      <c r="AF49" s="53" t="s">
        <v>18</v>
      </c>
      <c r="AG49" s="53" t="s">
        <v>19</v>
      </c>
      <c r="AH49" s="53" t="s">
        <v>19</v>
      </c>
      <c r="AI49" s="53" t="s">
        <v>19</v>
      </c>
      <c r="AJ49" s="53" t="s">
        <v>20</v>
      </c>
      <c r="AK49" s="53" t="s">
        <v>20</v>
      </c>
      <c r="AL49" s="53" t="s">
        <v>20</v>
      </c>
      <c r="AM49" s="53" t="s">
        <v>21</v>
      </c>
      <c r="AN49" s="53" t="s">
        <v>21</v>
      </c>
      <c r="AO49" s="53" t="s">
        <v>21</v>
      </c>
      <c r="AP49" s="53" t="s">
        <v>22</v>
      </c>
      <c r="AQ49" s="53" t="s">
        <v>22</v>
      </c>
      <c r="AR49" s="53" t="s">
        <v>22</v>
      </c>
    </row>
    <row r="50" spans="1:44" ht="14.25" customHeight="1" x14ac:dyDescent="0.25">
      <c r="A50" s="19"/>
      <c r="B50" s="55" t="s">
        <v>23</v>
      </c>
      <c r="C50" s="55">
        <v>150000</v>
      </c>
      <c r="D50" s="55">
        <v>145000</v>
      </c>
      <c r="E50" s="55">
        <v>145000</v>
      </c>
      <c r="F50" s="55">
        <v>160000</v>
      </c>
      <c r="G50" s="55">
        <v>145000</v>
      </c>
      <c r="H50" s="55">
        <v>160000</v>
      </c>
      <c r="I50" s="55">
        <v>160000</v>
      </c>
      <c r="J50" s="55">
        <v>125000</v>
      </c>
      <c r="K50" s="55">
        <v>145000</v>
      </c>
      <c r="L50" s="81">
        <v>55</v>
      </c>
      <c r="M50" s="81">
        <v>55</v>
      </c>
      <c r="N50" s="81">
        <v>60</v>
      </c>
      <c r="O50" s="81">
        <v>20</v>
      </c>
      <c r="P50" s="81">
        <v>25</v>
      </c>
      <c r="Q50" s="81">
        <v>35</v>
      </c>
      <c r="R50" s="81">
        <v>14</v>
      </c>
      <c r="S50" s="81">
        <v>18</v>
      </c>
      <c r="T50" s="81">
        <v>17</v>
      </c>
      <c r="U50" s="81">
        <v>21</v>
      </c>
      <c r="V50" s="81">
        <v>15</v>
      </c>
      <c r="W50" s="81">
        <v>11</v>
      </c>
      <c r="X50" s="55">
        <v>8000</v>
      </c>
      <c r="Y50" s="55">
        <v>6000</v>
      </c>
      <c r="Z50" s="55">
        <v>4000</v>
      </c>
      <c r="AA50" s="55">
        <v>571.42999999999995</v>
      </c>
      <c r="AB50" s="55">
        <v>333.33</v>
      </c>
      <c r="AC50" s="55">
        <v>235.29</v>
      </c>
      <c r="AD50" s="55">
        <v>350</v>
      </c>
      <c r="AE50" s="55">
        <v>450</v>
      </c>
      <c r="AF50" s="55">
        <v>350</v>
      </c>
      <c r="AG50" s="55">
        <v>400</v>
      </c>
      <c r="AH50" s="55">
        <v>385</v>
      </c>
      <c r="AI50" s="55">
        <v>390</v>
      </c>
      <c r="AJ50" s="55">
        <v>2909.09</v>
      </c>
      <c r="AK50" s="55">
        <v>2636.36</v>
      </c>
      <c r="AL50" s="55">
        <v>2416.67</v>
      </c>
      <c r="AM50" s="55">
        <v>2800</v>
      </c>
      <c r="AN50" s="55">
        <v>2500</v>
      </c>
      <c r="AO50" s="55">
        <v>2300</v>
      </c>
      <c r="AP50" s="55">
        <v>2200</v>
      </c>
      <c r="AQ50" s="55">
        <v>2300</v>
      </c>
      <c r="AR50" s="55">
        <v>2500</v>
      </c>
    </row>
    <row r="51" spans="1:44" ht="14.25" customHeight="1" x14ac:dyDescent="0.25">
      <c r="A51" s="19"/>
      <c r="B51" s="50" t="s">
        <v>24</v>
      </c>
      <c r="C51" s="50">
        <v>185000</v>
      </c>
      <c r="D51" s="50">
        <v>150000</v>
      </c>
      <c r="E51" s="50">
        <v>185000</v>
      </c>
      <c r="F51" s="50">
        <v>160000</v>
      </c>
      <c r="G51" s="50">
        <v>145000</v>
      </c>
      <c r="H51" s="50">
        <v>160000</v>
      </c>
      <c r="I51" s="50">
        <v>125000</v>
      </c>
      <c r="J51" s="50">
        <v>130000</v>
      </c>
      <c r="K51" s="50">
        <v>120000</v>
      </c>
      <c r="L51" s="79">
        <v>56</v>
      </c>
      <c r="M51" s="79">
        <v>45</v>
      </c>
      <c r="N51" s="79">
        <v>65</v>
      </c>
      <c r="O51" s="79">
        <v>20</v>
      </c>
      <c r="P51" s="79">
        <v>25</v>
      </c>
      <c r="Q51" s="79">
        <v>35</v>
      </c>
      <c r="R51" s="79">
        <v>15</v>
      </c>
      <c r="S51" s="79">
        <v>25</v>
      </c>
      <c r="T51" s="79">
        <v>25</v>
      </c>
      <c r="U51" s="79">
        <v>14</v>
      </c>
      <c r="V51" s="79">
        <v>22</v>
      </c>
      <c r="W51" s="79">
        <v>12</v>
      </c>
      <c r="X51" s="50">
        <v>5500</v>
      </c>
      <c r="Y51" s="50">
        <v>8500</v>
      </c>
      <c r="Z51" s="50">
        <v>5000</v>
      </c>
      <c r="AA51" s="50">
        <v>366.67</v>
      </c>
      <c r="AB51" s="50">
        <v>340</v>
      </c>
      <c r="AC51" s="50">
        <v>200</v>
      </c>
      <c r="AD51" s="50">
        <v>350</v>
      </c>
      <c r="AE51" s="50">
        <v>450</v>
      </c>
      <c r="AF51" s="50">
        <v>350</v>
      </c>
      <c r="AG51" s="50">
        <v>380</v>
      </c>
      <c r="AH51" s="50">
        <v>400</v>
      </c>
      <c r="AI51" s="50">
        <v>388</v>
      </c>
      <c r="AJ51" s="50">
        <v>3303.57</v>
      </c>
      <c r="AK51" s="50">
        <v>3333.33</v>
      </c>
      <c r="AL51" s="50">
        <v>2846.15</v>
      </c>
      <c r="AM51" s="50">
        <v>2500</v>
      </c>
      <c r="AN51" s="50">
        <v>3000</v>
      </c>
      <c r="AO51" s="50">
        <v>2000</v>
      </c>
      <c r="AP51" s="50">
        <v>2200</v>
      </c>
      <c r="AQ51" s="50">
        <v>2300</v>
      </c>
      <c r="AR51" s="50">
        <v>2500</v>
      </c>
    </row>
    <row r="52" spans="1:44" ht="14.25" customHeight="1" x14ac:dyDescent="0.25">
      <c r="A52" s="19"/>
      <c r="B52" s="50" t="s">
        <v>25</v>
      </c>
      <c r="C52" s="50">
        <v>150000</v>
      </c>
      <c r="D52" s="50">
        <v>125000</v>
      </c>
      <c r="E52" s="50">
        <v>120000</v>
      </c>
      <c r="F52" s="50">
        <v>160000</v>
      </c>
      <c r="G52" s="50">
        <v>145000</v>
      </c>
      <c r="H52" s="50">
        <v>160000</v>
      </c>
      <c r="I52" s="50">
        <v>130000</v>
      </c>
      <c r="J52" s="50">
        <v>150000</v>
      </c>
      <c r="K52" s="50">
        <v>125000</v>
      </c>
      <c r="L52" s="79">
        <v>56</v>
      </c>
      <c r="M52" s="79">
        <v>65</v>
      </c>
      <c r="N52" s="79">
        <v>50</v>
      </c>
      <c r="O52" s="79">
        <v>20</v>
      </c>
      <c r="P52" s="79">
        <v>25</v>
      </c>
      <c r="Q52" s="79">
        <v>35</v>
      </c>
      <c r="R52" s="79">
        <v>22</v>
      </c>
      <c r="S52" s="79">
        <v>17</v>
      </c>
      <c r="T52" s="79">
        <v>17</v>
      </c>
      <c r="U52" s="79">
        <v>25</v>
      </c>
      <c r="V52" s="79">
        <v>17</v>
      </c>
      <c r="W52" s="79">
        <v>21</v>
      </c>
      <c r="X52" s="50">
        <v>9000</v>
      </c>
      <c r="Y52" s="50">
        <v>6500</v>
      </c>
      <c r="Z52" s="50">
        <v>6500</v>
      </c>
      <c r="AA52" s="50">
        <v>409.09</v>
      </c>
      <c r="AB52" s="50">
        <v>382.35</v>
      </c>
      <c r="AC52" s="50">
        <v>382.35</v>
      </c>
      <c r="AD52" s="50">
        <v>350</v>
      </c>
      <c r="AE52" s="50">
        <v>450</v>
      </c>
      <c r="AF52" s="50">
        <v>350</v>
      </c>
      <c r="AG52" s="50">
        <v>365</v>
      </c>
      <c r="AH52" s="50">
        <v>350</v>
      </c>
      <c r="AI52" s="50">
        <v>352</v>
      </c>
      <c r="AJ52" s="50">
        <v>2678.57</v>
      </c>
      <c r="AK52" s="50">
        <v>1923.08</v>
      </c>
      <c r="AL52" s="50">
        <v>2400</v>
      </c>
      <c r="AM52" s="50">
        <v>2600</v>
      </c>
      <c r="AN52" s="50">
        <v>1800</v>
      </c>
      <c r="AO52" s="50">
        <v>2200</v>
      </c>
      <c r="AP52" s="50">
        <v>2200</v>
      </c>
      <c r="AQ52" s="50">
        <v>2300</v>
      </c>
      <c r="AR52" s="50">
        <v>2500</v>
      </c>
    </row>
    <row r="53" spans="1:44" ht="14.25" customHeight="1" x14ac:dyDescent="0.25">
      <c r="A53" s="19"/>
      <c r="B53" s="50" t="s">
        <v>26</v>
      </c>
      <c r="C53" s="50">
        <v>155000</v>
      </c>
      <c r="D53" s="50">
        <v>155000</v>
      </c>
      <c r="E53" s="50">
        <v>155000</v>
      </c>
      <c r="F53" s="50">
        <v>160000</v>
      </c>
      <c r="G53" s="50">
        <v>145000</v>
      </c>
      <c r="H53" s="50">
        <v>160000</v>
      </c>
      <c r="I53" s="50">
        <v>150000</v>
      </c>
      <c r="J53" s="50">
        <v>155000</v>
      </c>
      <c r="K53" s="50">
        <v>160000</v>
      </c>
      <c r="L53" s="79">
        <v>62</v>
      </c>
      <c r="M53" s="79">
        <v>52</v>
      </c>
      <c r="N53" s="79">
        <v>52</v>
      </c>
      <c r="O53" s="79">
        <v>20</v>
      </c>
      <c r="P53" s="79">
        <v>25</v>
      </c>
      <c r="Q53" s="79">
        <v>35</v>
      </c>
      <c r="R53" s="79">
        <v>21</v>
      </c>
      <c r="S53" s="79">
        <v>24</v>
      </c>
      <c r="T53" s="79">
        <v>22</v>
      </c>
      <c r="U53" s="79">
        <v>17</v>
      </c>
      <c r="V53" s="79">
        <v>16</v>
      </c>
      <c r="W53" s="79">
        <v>23</v>
      </c>
      <c r="X53" s="50">
        <v>6200</v>
      </c>
      <c r="Y53" s="50">
        <v>6300</v>
      </c>
      <c r="Z53" s="50">
        <v>9000</v>
      </c>
      <c r="AA53" s="50">
        <v>295.24</v>
      </c>
      <c r="AB53" s="50">
        <v>262.5</v>
      </c>
      <c r="AC53" s="50">
        <v>409.09</v>
      </c>
      <c r="AD53" s="50">
        <v>350</v>
      </c>
      <c r="AE53" s="50">
        <v>450</v>
      </c>
      <c r="AF53" s="50">
        <v>350</v>
      </c>
      <c r="AG53" s="50">
        <v>405</v>
      </c>
      <c r="AH53" s="50">
        <v>370</v>
      </c>
      <c r="AI53" s="50">
        <v>350</v>
      </c>
      <c r="AJ53" s="50">
        <v>2500</v>
      </c>
      <c r="AK53" s="50">
        <v>2980.77</v>
      </c>
      <c r="AL53" s="50">
        <v>2980.77</v>
      </c>
      <c r="AM53" s="50">
        <v>2400</v>
      </c>
      <c r="AN53" s="50">
        <v>2800</v>
      </c>
      <c r="AO53" s="50">
        <v>2890</v>
      </c>
      <c r="AP53" s="50">
        <v>2200</v>
      </c>
      <c r="AQ53" s="50">
        <v>2300</v>
      </c>
      <c r="AR53" s="50">
        <v>2500</v>
      </c>
    </row>
    <row r="54" spans="1:44" ht="14.25" customHeight="1" x14ac:dyDescent="0.25">
      <c r="A54" s="19"/>
      <c r="B54" s="50" t="s">
        <v>27</v>
      </c>
      <c r="C54" s="50">
        <v>140000</v>
      </c>
      <c r="D54" s="50">
        <v>170000</v>
      </c>
      <c r="E54" s="50">
        <v>155000</v>
      </c>
      <c r="F54" s="50">
        <v>160000</v>
      </c>
      <c r="G54" s="50">
        <v>145000</v>
      </c>
      <c r="H54" s="50">
        <v>160000</v>
      </c>
      <c r="I54" s="50">
        <v>150000</v>
      </c>
      <c r="J54" s="50">
        <v>180000</v>
      </c>
      <c r="K54" s="50">
        <v>140000</v>
      </c>
      <c r="L54" s="79">
        <v>65</v>
      </c>
      <c r="M54" s="79">
        <v>50</v>
      </c>
      <c r="N54" s="79">
        <v>70</v>
      </c>
      <c r="O54" s="79">
        <v>20</v>
      </c>
      <c r="P54" s="79">
        <v>25</v>
      </c>
      <c r="Q54" s="79">
        <v>35</v>
      </c>
      <c r="R54" s="79">
        <v>30</v>
      </c>
      <c r="S54" s="79">
        <v>16</v>
      </c>
      <c r="T54" s="79">
        <v>18</v>
      </c>
      <c r="U54" s="79">
        <v>25</v>
      </c>
      <c r="V54" s="79">
        <v>21</v>
      </c>
      <c r="W54" s="79">
        <v>20</v>
      </c>
      <c r="X54" s="50">
        <v>9800</v>
      </c>
      <c r="Y54" s="50">
        <v>8000</v>
      </c>
      <c r="Z54" s="50">
        <v>7500</v>
      </c>
      <c r="AA54" s="50">
        <v>326.67</v>
      </c>
      <c r="AB54" s="50">
        <v>500</v>
      </c>
      <c r="AC54" s="50">
        <v>416.67</v>
      </c>
      <c r="AD54" s="50">
        <v>350</v>
      </c>
      <c r="AE54" s="50">
        <v>450</v>
      </c>
      <c r="AF54" s="50">
        <v>350</v>
      </c>
      <c r="AG54" s="50">
        <v>385</v>
      </c>
      <c r="AH54" s="50">
        <v>350</v>
      </c>
      <c r="AI54" s="50">
        <v>410</v>
      </c>
      <c r="AJ54" s="50">
        <v>2153.85</v>
      </c>
      <c r="AK54" s="50">
        <v>3400</v>
      </c>
      <c r="AL54" s="50">
        <v>2214.29</v>
      </c>
      <c r="AM54" s="50">
        <v>1900</v>
      </c>
      <c r="AN54" s="50">
        <v>3000</v>
      </c>
      <c r="AO54" s="50">
        <v>2100</v>
      </c>
      <c r="AP54" s="50">
        <v>2200</v>
      </c>
      <c r="AQ54" s="50">
        <v>2300</v>
      </c>
      <c r="AR54" s="50">
        <v>2500</v>
      </c>
    </row>
    <row r="55" spans="1:44" ht="14.25" customHeight="1" x14ac:dyDescent="0.25">
      <c r="A55" s="20"/>
      <c r="B55" s="51" t="s">
        <v>28</v>
      </c>
      <c r="C55" s="51">
        <f t="shared" ref="C55:Z55" si="4">SUM(C50:C54)</f>
        <v>780000</v>
      </c>
      <c r="D55" s="51">
        <f t="shared" si="4"/>
        <v>745000</v>
      </c>
      <c r="E55" s="51">
        <f t="shared" si="4"/>
        <v>760000</v>
      </c>
      <c r="F55" s="51">
        <f t="shared" si="4"/>
        <v>800000</v>
      </c>
      <c r="G55" s="51">
        <f t="shared" si="4"/>
        <v>725000</v>
      </c>
      <c r="H55" s="51">
        <f t="shared" si="4"/>
        <v>800000</v>
      </c>
      <c r="I55" s="51">
        <f t="shared" si="4"/>
        <v>715000</v>
      </c>
      <c r="J55" s="51">
        <f t="shared" si="4"/>
        <v>740000</v>
      </c>
      <c r="K55" s="51">
        <f t="shared" si="4"/>
        <v>690000</v>
      </c>
      <c r="L55" s="80">
        <f t="shared" si="4"/>
        <v>294</v>
      </c>
      <c r="M55" s="80">
        <f t="shared" si="4"/>
        <v>267</v>
      </c>
      <c r="N55" s="80">
        <f t="shared" si="4"/>
        <v>297</v>
      </c>
      <c r="O55" s="80">
        <f t="shared" si="4"/>
        <v>100</v>
      </c>
      <c r="P55" s="80">
        <f t="shared" si="4"/>
        <v>125</v>
      </c>
      <c r="Q55" s="80">
        <f t="shared" si="4"/>
        <v>175</v>
      </c>
      <c r="R55" s="80">
        <f t="shared" si="4"/>
        <v>102</v>
      </c>
      <c r="S55" s="80">
        <f t="shared" si="4"/>
        <v>100</v>
      </c>
      <c r="T55" s="80">
        <f t="shared" si="4"/>
        <v>99</v>
      </c>
      <c r="U55" s="80">
        <f t="shared" si="4"/>
        <v>102</v>
      </c>
      <c r="V55" s="80">
        <f t="shared" si="4"/>
        <v>91</v>
      </c>
      <c r="W55" s="80">
        <f t="shared" si="4"/>
        <v>87</v>
      </c>
      <c r="X55" s="51">
        <f t="shared" si="4"/>
        <v>38500</v>
      </c>
      <c r="Y55" s="51">
        <f t="shared" si="4"/>
        <v>35300</v>
      </c>
      <c r="Z55" s="51">
        <f t="shared" si="4"/>
        <v>32000</v>
      </c>
      <c r="AA55" s="51">
        <f t="shared" ref="AA55:AR55" si="5">AVERAGE(AA50:AA54)</f>
        <v>393.82</v>
      </c>
      <c r="AB55" s="51">
        <f t="shared" si="5"/>
        <v>363.63599999999997</v>
      </c>
      <c r="AC55" s="51">
        <f t="shared" si="5"/>
        <v>328.68</v>
      </c>
      <c r="AD55" s="51">
        <f t="shared" si="5"/>
        <v>350</v>
      </c>
      <c r="AE55" s="51">
        <f t="shared" si="5"/>
        <v>450</v>
      </c>
      <c r="AF55" s="51">
        <f t="shared" si="5"/>
        <v>350</v>
      </c>
      <c r="AG55" s="51">
        <f t="shared" si="5"/>
        <v>387</v>
      </c>
      <c r="AH55" s="51">
        <f t="shared" si="5"/>
        <v>371</v>
      </c>
      <c r="AI55" s="51">
        <f t="shared" si="5"/>
        <v>378</v>
      </c>
      <c r="AJ55" s="51">
        <f t="shared" si="5"/>
        <v>2709.0160000000001</v>
      </c>
      <c r="AK55" s="51">
        <f t="shared" si="5"/>
        <v>2854.7080000000001</v>
      </c>
      <c r="AL55" s="51">
        <f t="shared" si="5"/>
        <v>2571.576</v>
      </c>
      <c r="AM55" s="51">
        <f t="shared" si="5"/>
        <v>2440</v>
      </c>
      <c r="AN55" s="51">
        <f t="shared" si="5"/>
        <v>2620</v>
      </c>
      <c r="AO55" s="51">
        <f t="shared" si="5"/>
        <v>2298</v>
      </c>
      <c r="AP55" s="51">
        <f t="shared" si="5"/>
        <v>2200</v>
      </c>
      <c r="AQ55" s="51">
        <f t="shared" si="5"/>
        <v>2300</v>
      </c>
      <c r="AR55" s="51">
        <f t="shared" si="5"/>
        <v>2500</v>
      </c>
    </row>
    <row r="56" spans="1:44" ht="14.2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 spans="1:44" ht="14.25" customHeight="1" x14ac:dyDescent="0.25">
      <c r="A57" s="13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spans="1:44" ht="14.25" customHeight="1" x14ac:dyDescent="0.3">
      <c r="A58" s="13"/>
      <c r="B58" s="18"/>
      <c r="C58" s="56" t="s">
        <v>45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</row>
    <row r="59" spans="1:44" ht="14.25" customHeight="1" x14ac:dyDescent="0.25">
      <c r="A59" s="13"/>
      <c r="B59" s="54"/>
      <c r="C59" s="53" t="s">
        <v>6</v>
      </c>
      <c r="D59" s="53" t="s">
        <v>7</v>
      </c>
      <c r="E59" s="53" t="s">
        <v>8</v>
      </c>
      <c r="F59" s="53" t="s">
        <v>6</v>
      </c>
      <c r="G59" s="53" t="s">
        <v>7</v>
      </c>
      <c r="H59" s="53" t="s">
        <v>8</v>
      </c>
      <c r="I59" s="53" t="s">
        <v>6</v>
      </c>
      <c r="J59" s="53" t="s">
        <v>7</v>
      </c>
      <c r="K59" s="53" t="s">
        <v>8</v>
      </c>
      <c r="L59" s="78" t="s">
        <v>6</v>
      </c>
      <c r="M59" s="78" t="s">
        <v>7</v>
      </c>
      <c r="N59" s="78" t="s">
        <v>8</v>
      </c>
      <c r="O59" s="78" t="s">
        <v>6</v>
      </c>
      <c r="P59" s="78" t="s">
        <v>7</v>
      </c>
      <c r="Q59" s="78" t="s">
        <v>8</v>
      </c>
      <c r="R59" s="78" t="s">
        <v>6</v>
      </c>
      <c r="S59" s="78" t="s">
        <v>7</v>
      </c>
      <c r="T59" s="78" t="s">
        <v>8</v>
      </c>
      <c r="U59" s="78" t="s">
        <v>6</v>
      </c>
      <c r="V59" s="78" t="s">
        <v>7</v>
      </c>
      <c r="W59" s="78" t="s">
        <v>8</v>
      </c>
      <c r="X59" s="53" t="s">
        <v>6</v>
      </c>
      <c r="Y59" s="53" t="s">
        <v>7</v>
      </c>
      <c r="Z59" s="53" t="s">
        <v>8</v>
      </c>
      <c r="AA59" s="53" t="s">
        <v>6</v>
      </c>
      <c r="AB59" s="53" t="s">
        <v>7</v>
      </c>
      <c r="AC59" s="53" t="s">
        <v>8</v>
      </c>
      <c r="AD59" s="53" t="s">
        <v>6</v>
      </c>
      <c r="AE59" s="53" t="s">
        <v>7</v>
      </c>
      <c r="AF59" s="53" t="s">
        <v>8</v>
      </c>
      <c r="AG59" s="53" t="s">
        <v>6</v>
      </c>
      <c r="AH59" s="53" t="s">
        <v>7</v>
      </c>
      <c r="AI59" s="53" t="s">
        <v>8</v>
      </c>
      <c r="AJ59" s="53" t="s">
        <v>6</v>
      </c>
      <c r="AK59" s="53" t="s">
        <v>7</v>
      </c>
      <c r="AL59" s="53" t="s">
        <v>8</v>
      </c>
      <c r="AM59" s="53" t="s">
        <v>6</v>
      </c>
      <c r="AN59" s="53" t="s">
        <v>7</v>
      </c>
      <c r="AO59" s="53" t="s">
        <v>8</v>
      </c>
      <c r="AP59" s="53" t="s">
        <v>6</v>
      </c>
      <c r="AQ59" s="53" t="s">
        <v>7</v>
      </c>
      <c r="AR59" s="53" t="s">
        <v>8</v>
      </c>
    </row>
    <row r="60" spans="1:44" ht="50.25" customHeight="1" x14ac:dyDescent="0.25">
      <c r="A60" s="13"/>
      <c r="B60" s="54"/>
      <c r="C60" s="53" t="s">
        <v>9</v>
      </c>
      <c r="D60" s="53" t="s">
        <v>9</v>
      </c>
      <c r="E60" s="53" t="s">
        <v>9</v>
      </c>
      <c r="F60" s="53" t="s">
        <v>10</v>
      </c>
      <c r="G60" s="53" t="s">
        <v>10</v>
      </c>
      <c r="H60" s="53" t="s">
        <v>10</v>
      </c>
      <c r="I60" s="53" t="s">
        <v>11</v>
      </c>
      <c r="J60" s="53" t="s">
        <v>11</v>
      </c>
      <c r="K60" s="53" t="s">
        <v>11</v>
      </c>
      <c r="L60" s="78" t="s">
        <v>12</v>
      </c>
      <c r="M60" s="78" t="s">
        <v>12</v>
      </c>
      <c r="N60" s="78" t="s">
        <v>12</v>
      </c>
      <c r="O60" s="78" t="s">
        <v>13</v>
      </c>
      <c r="P60" s="78" t="s">
        <v>13</v>
      </c>
      <c r="Q60" s="78" t="s">
        <v>13</v>
      </c>
      <c r="R60" s="78" t="s">
        <v>14</v>
      </c>
      <c r="S60" s="78" t="s">
        <v>14</v>
      </c>
      <c r="T60" s="78" t="s">
        <v>14</v>
      </c>
      <c r="U60" s="78" t="s">
        <v>15</v>
      </c>
      <c r="V60" s="78" t="s">
        <v>15</v>
      </c>
      <c r="W60" s="78" t="s">
        <v>15</v>
      </c>
      <c r="X60" s="53" t="s">
        <v>16</v>
      </c>
      <c r="Y60" s="53" t="s">
        <v>16</v>
      </c>
      <c r="Z60" s="53" t="s">
        <v>16</v>
      </c>
      <c r="AA60" s="53" t="s">
        <v>17</v>
      </c>
      <c r="AB60" s="53" t="s">
        <v>17</v>
      </c>
      <c r="AC60" s="53" t="s">
        <v>17</v>
      </c>
      <c r="AD60" s="53" t="s">
        <v>18</v>
      </c>
      <c r="AE60" s="53" t="s">
        <v>18</v>
      </c>
      <c r="AF60" s="53" t="s">
        <v>18</v>
      </c>
      <c r="AG60" s="53" t="s">
        <v>19</v>
      </c>
      <c r="AH60" s="53" t="s">
        <v>19</v>
      </c>
      <c r="AI60" s="53" t="s">
        <v>19</v>
      </c>
      <c r="AJ60" s="53" t="s">
        <v>20</v>
      </c>
      <c r="AK60" s="53" t="s">
        <v>20</v>
      </c>
      <c r="AL60" s="53" t="s">
        <v>20</v>
      </c>
      <c r="AM60" s="53" t="s">
        <v>21</v>
      </c>
      <c r="AN60" s="53" t="s">
        <v>21</v>
      </c>
      <c r="AO60" s="53" t="s">
        <v>21</v>
      </c>
      <c r="AP60" s="53" t="s">
        <v>22</v>
      </c>
      <c r="AQ60" s="53" t="s">
        <v>22</v>
      </c>
      <c r="AR60" s="53" t="s">
        <v>22</v>
      </c>
    </row>
    <row r="61" spans="1:44" ht="14.25" customHeight="1" x14ac:dyDescent="0.25">
      <c r="A61" s="19"/>
      <c r="B61" s="55" t="s">
        <v>23</v>
      </c>
      <c r="C61" s="55">
        <v>145000</v>
      </c>
      <c r="D61" s="55">
        <v>150000</v>
      </c>
      <c r="E61" s="55">
        <v>150000</v>
      </c>
      <c r="F61" s="55">
        <v>165000</v>
      </c>
      <c r="G61" s="55">
        <v>155000</v>
      </c>
      <c r="H61" s="55">
        <v>145000</v>
      </c>
      <c r="I61" s="55">
        <v>155000</v>
      </c>
      <c r="J61" s="55">
        <v>125000</v>
      </c>
      <c r="K61" s="55">
        <v>145000</v>
      </c>
      <c r="L61" s="81">
        <v>75</v>
      </c>
      <c r="M61" s="81">
        <v>76</v>
      </c>
      <c r="N61" s="81">
        <v>80</v>
      </c>
      <c r="O61" s="81">
        <v>20</v>
      </c>
      <c r="P61" s="81">
        <v>20</v>
      </c>
      <c r="Q61" s="81">
        <v>20</v>
      </c>
      <c r="R61" s="81">
        <v>15</v>
      </c>
      <c r="S61" s="81">
        <v>22</v>
      </c>
      <c r="T61" s="81">
        <v>25</v>
      </c>
      <c r="U61" s="81">
        <v>21</v>
      </c>
      <c r="V61" s="81">
        <v>17</v>
      </c>
      <c r="W61" s="81">
        <v>16</v>
      </c>
      <c r="X61" s="55">
        <v>4700</v>
      </c>
      <c r="Y61" s="55">
        <v>7000</v>
      </c>
      <c r="Z61" s="55">
        <v>6000</v>
      </c>
      <c r="AA61" s="55">
        <v>313.33</v>
      </c>
      <c r="AB61" s="55">
        <v>318.18</v>
      </c>
      <c r="AC61" s="55">
        <v>240</v>
      </c>
      <c r="AD61" s="55">
        <v>350</v>
      </c>
      <c r="AE61" s="55">
        <v>350</v>
      </c>
      <c r="AF61" s="55">
        <v>300</v>
      </c>
      <c r="AG61" s="55">
        <v>410</v>
      </c>
      <c r="AH61" s="55">
        <v>385</v>
      </c>
      <c r="AI61" s="55">
        <v>390</v>
      </c>
      <c r="AJ61" s="55">
        <v>1866.67</v>
      </c>
      <c r="AK61" s="55">
        <v>1973.68</v>
      </c>
      <c r="AL61" s="55">
        <v>1875</v>
      </c>
      <c r="AM61" s="55">
        <v>2500</v>
      </c>
      <c r="AN61" s="55">
        <v>2700</v>
      </c>
      <c r="AO61" s="55">
        <v>2400</v>
      </c>
      <c r="AP61" s="55">
        <v>2450</v>
      </c>
      <c r="AQ61" s="55">
        <v>2700</v>
      </c>
      <c r="AR61" s="55">
        <v>2350</v>
      </c>
    </row>
    <row r="62" spans="1:44" ht="14.25" customHeight="1" x14ac:dyDescent="0.25">
      <c r="A62" s="19"/>
      <c r="B62" s="50" t="s">
        <v>24</v>
      </c>
      <c r="C62" s="50">
        <v>115000</v>
      </c>
      <c r="D62" s="50">
        <v>140000</v>
      </c>
      <c r="E62" s="50">
        <v>170000</v>
      </c>
      <c r="F62" s="50">
        <v>165000</v>
      </c>
      <c r="G62" s="50">
        <v>155000</v>
      </c>
      <c r="H62" s="50">
        <v>145000</v>
      </c>
      <c r="I62" s="50">
        <v>140000</v>
      </c>
      <c r="J62" s="50">
        <v>125000</v>
      </c>
      <c r="K62" s="50">
        <v>130000</v>
      </c>
      <c r="L62" s="79">
        <v>65</v>
      </c>
      <c r="M62" s="79">
        <v>85</v>
      </c>
      <c r="N62" s="79">
        <v>70</v>
      </c>
      <c r="O62" s="79">
        <v>20</v>
      </c>
      <c r="P62" s="79">
        <v>20</v>
      </c>
      <c r="Q62" s="79">
        <v>20</v>
      </c>
      <c r="R62" s="79">
        <v>25</v>
      </c>
      <c r="S62" s="79">
        <v>18</v>
      </c>
      <c r="T62" s="79">
        <v>24</v>
      </c>
      <c r="U62" s="79">
        <v>16</v>
      </c>
      <c r="V62" s="79">
        <v>14</v>
      </c>
      <c r="W62" s="79">
        <v>21</v>
      </c>
      <c r="X62" s="50">
        <v>6000</v>
      </c>
      <c r="Y62" s="50">
        <v>5000</v>
      </c>
      <c r="Z62" s="50">
        <v>8500</v>
      </c>
      <c r="AA62" s="50">
        <v>240</v>
      </c>
      <c r="AB62" s="50">
        <v>277.77999999999997</v>
      </c>
      <c r="AC62" s="50">
        <v>354.17</v>
      </c>
      <c r="AD62" s="50">
        <v>350</v>
      </c>
      <c r="AE62" s="50">
        <v>350</v>
      </c>
      <c r="AF62" s="50">
        <v>300</v>
      </c>
      <c r="AG62" s="50">
        <v>408</v>
      </c>
      <c r="AH62" s="50">
        <v>350</v>
      </c>
      <c r="AI62" s="50">
        <v>370</v>
      </c>
      <c r="AJ62" s="50">
        <v>1769.23</v>
      </c>
      <c r="AK62" s="50">
        <v>1647.06</v>
      </c>
      <c r="AL62" s="50">
        <v>2428.5700000000002</v>
      </c>
      <c r="AM62" s="50">
        <v>1800</v>
      </c>
      <c r="AN62" s="50">
        <v>2200</v>
      </c>
      <c r="AO62" s="50">
        <v>2300</v>
      </c>
      <c r="AP62" s="50">
        <v>2450</v>
      </c>
      <c r="AQ62" s="50">
        <v>2700</v>
      </c>
      <c r="AR62" s="50">
        <v>2350</v>
      </c>
    </row>
    <row r="63" spans="1:44" ht="14.25" customHeight="1" x14ac:dyDescent="0.25">
      <c r="A63" s="19"/>
      <c r="B63" s="50" t="s">
        <v>25</v>
      </c>
      <c r="C63" s="50">
        <v>165000</v>
      </c>
      <c r="D63" s="50">
        <v>140000</v>
      </c>
      <c r="E63" s="50">
        <v>145000</v>
      </c>
      <c r="F63" s="50">
        <v>165000</v>
      </c>
      <c r="G63" s="50">
        <v>155000</v>
      </c>
      <c r="H63" s="50">
        <v>145000</v>
      </c>
      <c r="I63" s="50">
        <v>165000</v>
      </c>
      <c r="J63" s="50">
        <v>150000</v>
      </c>
      <c r="K63" s="50">
        <v>155000</v>
      </c>
      <c r="L63" s="79">
        <v>65</v>
      </c>
      <c r="M63" s="79">
        <v>72</v>
      </c>
      <c r="N63" s="79">
        <v>78</v>
      </c>
      <c r="O63" s="79">
        <v>20</v>
      </c>
      <c r="P63" s="79">
        <v>20</v>
      </c>
      <c r="Q63" s="79">
        <v>20</v>
      </c>
      <c r="R63" s="79">
        <v>25</v>
      </c>
      <c r="S63" s="79">
        <v>17</v>
      </c>
      <c r="T63" s="79">
        <v>14</v>
      </c>
      <c r="U63" s="79">
        <v>15</v>
      </c>
      <c r="V63" s="79">
        <v>21</v>
      </c>
      <c r="W63" s="79">
        <v>20</v>
      </c>
      <c r="X63" s="50">
        <v>4000</v>
      </c>
      <c r="Y63" s="50">
        <v>8000</v>
      </c>
      <c r="Z63" s="50">
        <v>8000</v>
      </c>
      <c r="AA63" s="50">
        <v>160</v>
      </c>
      <c r="AB63" s="50">
        <v>470.59</v>
      </c>
      <c r="AC63" s="50">
        <v>571.42999999999995</v>
      </c>
      <c r="AD63" s="50">
        <v>350</v>
      </c>
      <c r="AE63" s="50">
        <v>350</v>
      </c>
      <c r="AF63" s="50">
        <v>300</v>
      </c>
      <c r="AG63" s="50">
        <v>345</v>
      </c>
      <c r="AH63" s="50">
        <v>405</v>
      </c>
      <c r="AI63" s="50">
        <v>352</v>
      </c>
      <c r="AJ63" s="50">
        <v>2538.46</v>
      </c>
      <c r="AK63" s="50">
        <v>1944.44</v>
      </c>
      <c r="AL63" s="50">
        <v>1858.97</v>
      </c>
      <c r="AM63" s="50">
        <v>2500</v>
      </c>
      <c r="AN63" s="50">
        <v>2500</v>
      </c>
      <c r="AO63" s="50">
        <v>2600</v>
      </c>
      <c r="AP63" s="50">
        <v>2450</v>
      </c>
      <c r="AQ63" s="50">
        <v>2700</v>
      </c>
      <c r="AR63" s="50">
        <v>2350</v>
      </c>
    </row>
    <row r="64" spans="1:44" ht="14.25" customHeight="1" x14ac:dyDescent="0.25">
      <c r="A64" s="19"/>
      <c r="B64" s="50" t="s">
        <v>26</v>
      </c>
      <c r="C64" s="50">
        <v>125000</v>
      </c>
      <c r="D64" s="50">
        <v>155000</v>
      </c>
      <c r="E64" s="50">
        <v>155000</v>
      </c>
      <c r="F64" s="50">
        <v>165000</v>
      </c>
      <c r="G64" s="50">
        <v>155000</v>
      </c>
      <c r="H64" s="50">
        <v>145000</v>
      </c>
      <c r="I64" s="50">
        <v>150000</v>
      </c>
      <c r="J64" s="50">
        <v>145000</v>
      </c>
      <c r="K64" s="50">
        <v>125000</v>
      </c>
      <c r="L64" s="79">
        <v>65</v>
      </c>
      <c r="M64" s="79">
        <v>70</v>
      </c>
      <c r="N64" s="79">
        <v>85</v>
      </c>
      <c r="O64" s="79">
        <v>20</v>
      </c>
      <c r="P64" s="79">
        <v>20</v>
      </c>
      <c r="Q64" s="79">
        <v>20</v>
      </c>
      <c r="R64" s="79">
        <v>19</v>
      </c>
      <c r="S64" s="79">
        <v>15</v>
      </c>
      <c r="T64" s="79">
        <v>21</v>
      </c>
      <c r="U64" s="79">
        <v>22</v>
      </c>
      <c r="V64" s="79">
        <v>20</v>
      </c>
      <c r="W64" s="79">
        <v>17</v>
      </c>
      <c r="X64" s="50">
        <v>9000</v>
      </c>
      <c r="Y64" s="50">
        <v>8500</v>
      </c>
      <c r="Z64" s="50">
        <v>7000</v>
      </c>
      <c r="AA64" s="50">
        <v>473.68</v>
      </c>
      <c r="AB64" s="50">
        <v>566.66999999999996</v>
      </c>
      <c r="AC64" s="50">
        <v>333.33</v>
      </c>
      <c r="AD64" s="50">
        <v>350</v>
      </c>
      <c r="AE64" s="50">
        <v>350</v>
      </c>
      <c r="AF64" s="50">
        <v>300</v>
      </c>
      <c r="AG64" s="50">
        <v>350</v>
      </c>
      <c r="AH64" s="50">
        <v>400</v>
      </c>
      <c r="AI64" s="50">
        <v>388</v>
      </c>
      <c r="AJ64" s="50">
        <v>1923.08</v>
      </c>
      <c r="AK64" s="50">
        <v>2214.29</v>
      </c>
      <c r="AL64" s="50">
        <v>1823.53</v>
      </c>
      <c r="AM64" s="50">
        <v>2100</v>
      </c>
      <c r="AN64" s="50">
        <v>2400</v>
      </c>
      <c r="AO64" s="50">
        <v>2400</v>
      </c>
      <c r="AP64" s="50">
        <v>2450</v>
      </c>
      <c r="AQ64" s="50">
        <v>2700</v>
      </c>
      <c r="AR64" s="50">
        <v>2350</v>
      </c>
    </row>
    <row r="65" spans="1:44" ht="14.25" customHeight="1" x14ac:dyDescent="0.25">
      <c r="A65" s="19"/>
      <c r="B65" s="50" t="s">
        <v>27</v>
      </c>
      <c r="C65" s="50">
        <v>150000</v>
      </c>
      <c r="D65" s="50">
        <v>130000</v>
      </c>
      <c r="E65" s="50">
        <v>150000</v>
      </c>
      <c r="F65" s="50">
        <v>165000</v>
      </c>
      <c r="G65" s="50">
        <v>155000</v>
      </c>
      <c r="H65" s="50">
        <v>145000</v>
      </c>
      <c r="I65" s="50">
        <v>170000</v>
      </c>
      <c r="J65" s="50">
        <v>155000</v>
      </c>
      <c r="K65" s="50">
        <v>130000</v>
      </c>
      <c r="L65" s="79">
        <v>75</v>
      </c>
      <c r="M65" s="79">
        <v>63</v>
      </c>
      <c r="N65" s="79">
        <v>80</v>
      </c>
      <c r="O65" s="79">
        <v>20</v>
      </c>
      <c r="P65" s="79">
        <v>20</v>
      </c>
      <c r="Q65" s="79">
        <v>20</v>
      </c>
      <c r="R65" s="79">
        <v>24</v>
      </c>
      <c r="S65" s="79">
        <v>15</v>
      </c>
      <c r="T65" s="79">
        <v>30</v>
      </c>
      <c r="U65" s="79">
        <v>23</v>
      </c>
      <c r="V65" s="79">
        <v>24</v>
      </c>
      <c r="W65" s="79">
        <v>20</v>
      </c>
      <c r="X65" s="50">
        <v>9500</v>
      </c>
      <c r="Y65" s="50">
        <v>9000</v>
      </c>
      <c r="Z65" s="50">
        <v>8000</v>
      </c>
      <c r="AA65" s="50">
        <v>395.83</v>
      </c>
      <c r="AB65" s="50">
        <v>600</v>
      </c>
      <c r="AC65" s="50">
        <v>266.67</v>
      </c>
      <c r="AD65" s="50">
        <v>350</v>
      </c>
      <c r="AE65" s="50">
        <v>350</v>
      </c>
      <c r="AF65" s="50">
        <v>300</v>
      </c>
      <c r="AG65" s="50">
        <v>360</v>
      </c>
      <c r="AH65" s="50">
        <v>350</v>
      </c>
      <c r="AI65" s="50">
        <v>425</v>
      </c>
      <c r="AJ65" s="50">
        <v>2000</v>
      </c>
      <c r="AK65" s="50">
        <v>2063.4899999999998</v>
      </c>
      <c r="AL65" s="50">
        <v>1875</v>
      </c>
      <c r="AM65" s="50">
        <v>2100</v>
      </c>
      <c r="AN65" s="50">
        <v>2800</v>
      </c>
      <c r="AO65" s="50">
        <v>3000</v>
      </c>
      <c r="AP65" s="50">
        <v>2450</v>
      </c>
      <c r="AQ65" s="50">
        <v>2700</v>
      </c>
      <c r="AR65" s="50">
        <v>2350</v>
      </c>
    </row>
    <row r="66" spans="1:44" ht="14.25" customHeight="1" x14ac:dyDescent="0.25">
      <c r="A66" s="20"/>
      <c r="B66" s="51" t="s">
        <v>28</v>
      </c>
      <c r="C66" s="51">
        <f t="shared" ref="C66:Z66" si="6">SUM(C61:C65)</f>
        <v>700000</v>
      </c>
      <c r="D66" s="51">
        <f t="shared" si="6"/>
        <v>715000</v>
      </c>
      <c r="E66" s="51">
        <f t="shared" si="6"/>
        <v>770000</v>
      </c>
      <c r="F66" s="51">
        <f t="shared" si="6"/>
        <v>825000</v>
      </c>
      <c r="G66" s="51">
        <f t="shared" si="6"/>
        <v>775000</v>
      </c>
      <c r="H66" s="51">
        <f t="shared" si="6"/>
        <v>725000</v>
      </c>
      <c r="I66" s="51">
        <f t="shared" si="6"/>
        <v>780000</v>
      </c>
      <c r="J66" s="51">
        <f t="shared" si="6"/>
        <v>700000</v>
      </c>
      <c r="K66" s="51">
        <f t="shared" si="6"/>
        <v>685000</v>
      </c>
      <c r="L66" s="80">
        <f t="shared" si="6"/>
        <v>345</v>
      </c>
      <c r="M66" s="80">
        <f t="shared" si="6"/>
        <v>366</v>
      </c>
      <c r="N66" s="80">
        <f t="shared" si="6"/>
        <v>393</v>
      </c>
      <c r="O66" s="80">
        <f t="shared" si="6"/>
        <v>100</v>
      </c>
      <c r="P66" s="80">
        <f t="shared" si="6"/>
        <v>100</v>
      </c>
      <c r="Q66" s="80">
        <f t="shared" si="6"/>
        <v>100</v>
      </c>
      <c r="R66" s="80">
        <f t="shared" si="6"/>
        <v>108</v>
      </c>
      <c r="S66" s="80">
        <f t="shared" si="6"/>
        <v>87</v>
      </c>
      <c r="T66" s="80">
        <f t="shared" si="6"/>
        <v>114</v>
      </c>
      <c r="U66" s="80">
        <f t="shared" si="6"/>
        <v>97</v>
      </c>
      <c r="V66" s="80">
        <f t="shared" si="6"/>
        <v>96</v>
      </c>
      <c r="W66" s="80">
        <f t="shared" si="6"/>
        <v>94</v>
      </c>
      <c r="X66" s="51">
        <f t="shared" si="6"/>
        <v>33200</v>
      </c>
      <c r="Y66" s="51">
        <f t="shared" si="6"/>
        <v>37500</v>
      </c>
      <c r="Z66" s="51">
        <f t="shared" si="6"/>
        <v>37500</v>
      </c>
      <c r="AA66" s="51">
        <f t="shared" ref="AA66:AR66" si="7">AVERAGE(AA61:AA65)</f>
        <v>316.56799999999998</v>
      </c>
      <c r="AB66" s="51">
        <f t="shared" si="7"/>
        <v>446.64399999999995</v>
      </c>
      <c r="AC66" s="51">
        <f t="shared" si="7"/>
        <v>353.12</v>
      </c>
      <c r="AD66" s="51">
        <f t="shared" si="7"/>
        <v>350</v>
      </c>
      <c r="AE66" s="51">
        <f t="shared" si="7"/>
        <v>350</v>
      </c>
      <c r="AF66" s="51">
        <f t="shared" si="7"/>
        <v>300</v>
      </c>
      <c r="AG66" s="51">
        <f t="shared" si="7"/>
        <v>374.6</v>
      </c>
      <c r="AH66" s="51">
        <f t="shared" si="7"/>
        <v>378</v>
      </c>
      <c r="AI66" s="51">
        <f t="shared" si="7"/>
        <v>385</v>
      </c>
      <c r="AJ66" s="51">
        <f t="shared" si="7"/>
        <v>2019.4880000000001</v>
      </c>
      <c r="AK66" s="51">
        <f t="shared" si="7"/>
        <v>1968.5919999999999</v>
      </c>
      <c r="AL66" s="51">
        <f t="shared" si="7"/>
        <v>1972.2139999999999</v>
      </c>
      <c r="AM66" s="51">
        <f t="shared" si="7"/>
        <v>2200</v>
      </c>
      <c r="AN66" s="51">
        <f t="shared" si="7"/>
        <v>2520</v>
      </c>
      <c r="AO66" s="51">
        <f t="shared" si="7"/>
        <v>2540</v>
      </c>
      <c r="AP66" s="51">
        <f t="shared" si="7"/>
        <v>2450</v>
      </c>
      <c r="AQ66" s="51">
        <f t="shared" si="7"/>
        <v>2700</v>
      </c>
      <c r="AR66" s="51">
        <f t="shared" si="7"/>
        <v>2350</v>
      </c>
    </row>
    <row r="67" spans="1:44" ht="14.2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</row>
    <row r="68" spans="1:44" ht="14.2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</row>
    <row r="69" spans="1:44" ht="14.2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</row>
    <row r="70" spans="1:44" ht="14.2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 spans="1:44" ht="14.2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</row>
    <row r="72" spans="1:44" ht="14.2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</row>
    <row r="73" spans="1:44" ht="14.2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</row>
    <row r="74" spans="1:44" ht="14.2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spans="1:44" ht="14.2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spans="1:44" ht="14.2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spans="1:44" ht="14.2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spans="1:44" ht="14.2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spans="1:44" ht="14.2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spans="1:44" ht="14.2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spans="1:44" ht="14.2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spans="1:44" ht="14.2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spans="1:44" ht="14.2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spans="1:44" ht="14.2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spans="1:44" ht="14.2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spans="1:44" ht="14.2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spans="1:44" ht="14.2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spans="1:44" ht="14.2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spans="1:44" ht="14.2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spans="1:44" ht="14.2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spans="1:44" ht="14.2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spans="1:44" ht="14.2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spans="1:44" ht="14.2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spans="1:44" ht="14.2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spans="1:44" ht="14.2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spans="1:44" ht="14.2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spans="1:44" ht="14.2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spans="1:44" ht="14.2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spans="1:44" ht="14.2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spans="1:44" ht="14.2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spans="1:44" ht="14.2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spans="1:44" ht="14.2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spans="1:44" ht="14.2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spans="1:44" ht="14.2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 spans="1:44" ht="14.2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spans="1:44" ht="14.2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spans="1:44" ht="14.2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spans="1:44" ht="14.2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spans="1:44" ht="14.2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spans="1:44" ht="14.2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spans="1:44" ht="14.2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spans="1:44" ht="14.2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spans="1:44" ht="14.2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spans="1:44" ht="14.2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spans="1:44" ht="14.2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spans="1:44" ht="14.2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spans="1:44" ht="14.2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spans="1:44" ht="14.2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spans="1:44" ht="14.2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spans="1:44" ht="14.2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spans="1:44" ht="14.2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spans="1:44" ht="14.2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spans="1:44" ht="14.2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spans="1:44" ht="14.2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spans="1:44" ht="14.2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spans="1:44" ht="14.2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spans="1:44" ht="14.2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spans="1:44" ht="14.2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spans="1:44" ht="14.2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spans="1:44" ht="14.2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spans="1:44" ht="14.2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spans="1:44" ht="14.2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spans="1:44" ht="14.2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spans="1:44" ht="14.2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spans="1:44" ht="14.2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spans="1:44" ht="14.2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spans="1:44" ht="14.2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spans="1:44" ht="14.2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spans="1:44" ht="14.2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spans="1:44" ht="14.2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spans="1:44" ht="14.2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spans="1:44" ht="14.2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spans="1:44" ht="14.2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spans="1:44" ht="14.2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spans="1:44" ht="14.2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spans="1:44" ht="14.2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spans="1:44" ht="14.2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spans="1:44" ht="14.2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spans="1:44" ht="14.2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spans="1:44" ht="14.2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spans="1:44" ht="14.2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spans="1:44" ht="14.2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spans="1:44" ht="14.2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spans="1:44" ht="14.2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spans="1:44" ht="14.2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spans="1:44" ht="14.2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spans="1:44" ht="14.2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spans="1:44" ht="14.2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spans="1:44" ht="14.2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spans="1:44" ht="14.2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spans="1:44" ht="14.2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spans="1:44" ht="14.2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spans="1:44" ht="14.2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spans="1:44" ht="14.2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spans="1:44" ht="14.2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spans="1:44" ht="14.2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spans="1:44" ht="14.2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spans="1:44" ht="14.2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spans="1:44" ht="14.2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spans="1:44" ht="14.2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spans="1:44" ht="14.2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spans="1:44" ht="14.2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spans="1:44" ht="14.2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spans="1:44" ht="14.2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spans="1:44" ht="14.2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spans="1:44" ht="14.2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spans="1:44" ht="14.2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spans="1:44" ht="14.2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spans="1:44" ht="14.2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spans="1:44" ht="14.2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spans="1:44" ht="14.2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spans="1:44" ht="14.2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spans="1:44" ht="14.2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spans="1:44" ht="14.2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spans="1:44" ht="14.2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spans="1:44" ht="14.2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spans="1:44" ht="14.2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spans="1:44" ht="14.2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spans="1:44" ht="14.2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spans="1:44" ht="14.2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spans="1:44" ht="14.2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spans="1:44" ht="14.2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spans="1:44" ht="14.2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spans="1:44" ht="14.2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spans="1:44" ht="14.2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spans="1:44" ht="14.2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spans="1:44" ht="14.2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spans="1:44" ht="14.2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spans="1:44" ht="14.2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spans="1:44" ht="14.2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spans="1:44" ht="14.2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spans="1:44" ht="14.2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spans="1:44" ht="14.2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spans="1:44" ht="14.2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spans="1:44" ht="14.2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spans="1:44" ht="14.2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spans="1:44" ht="14.2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spans="1:44" ht="14.2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spans="1:44" ht="14.2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spans="1:44" ht="14.2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spans="1:44" ht="14.2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spans="1:44" ht="14.2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spans="1:44" ht="14.2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spans="1:44" ht="14.2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spans="1:44" ht="14.2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spans="1:44" ht="14.2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spans="1:44" ht="14.2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spans="1:44" ht="14.2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spans="1:44" ht="14.2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spans="1:44" ht="14.2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spans="1:44" ht="14.2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spans="1:44" ht="14.2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spans="1:44" ht="14.2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spans="1:44" ht="14.2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spans="1:44" ht="14.2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spans="1:44" ht="14.2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spans="1:44" ht="14.2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spans="1:44" ht="14.2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spans="1:44" ht="14.2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spans="1:44" ht="14.2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spans="1:44" ht="14.2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spans="1:44" ht="14.2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spans="1:44" ht="14.2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spans="1:44" ht="14.2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spans="1:44" ht="14.2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spans="1:44" ht="14.2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spans="1:44" ht="14.2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spans="1:44" ht="14.2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spans="1:44" ht="14.2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spans="1:44" ht="14.2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spans="1:44" ht="14.2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spans="1:44" ht="14.2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spans="1:44" ht="14.2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spans="1:44" ht="14.2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spans="1:44" ht="14.2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spans="1:44" ht="14.2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spans="1:44" ht="14.2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spans="1:44" ht="14.2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spans="1:44" ht="14.2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spans="1:44" ht="14.2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spans="1:44" ht="14.2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spans="1:44" ht="14.2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spans="1:44" ht="14.2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spans="1:44" ht="14.2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spans="1:44" ht="14.2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spans="1:44" ht="14.2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spans="1:44" ht="14.2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spans="1:44" ht="14.2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spans="1:44" ht="14.2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spans="1:44" ht="14.2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spans="1:44" ht="14.2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spans="1:44" ht="14.2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spans="1:44" ht="14.2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spans="1:44" ht="14.2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spans="1:44" ht="14.2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spans="1:44" ht="14.2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spans="1:44" ht="14.25" customHeight="1" x14ac:dyDescent="0.25"/>
    <row r="268" spans="1:44" ht="14.25" customHeight="1" x14ac:dyDescent="0.25"/>
    <row r="269" spans="1:44" ht="14.25" customHeight="1" x14ac:dyDescent="0.25"/>
    <row r="270" spans="1:44" ht="14.25" customHeight="1" x14ac:dyDescent="0.25"/>
    <row r="271" spans="1:44" ht="14.25" customHeight="1" x14ac:dyDescent="0.25"/>
    <row r="272" spans="1:44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mergeCells count="4">
    <mergeCell ref="C25:AR25"/>
    <mergeCell ref="C36:AR36"/>
    <mergeCell ref="C47:AR47"/>
    <mergeCell ref="C58:AR58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D2" sqref="D2"/>
    </sheetView>
  </sheetViews>
  <sheetFormatPr defaultColWidth="14.42578125" defaultRowHeight="15" customHeight="1" x14ac:dyDescent="0.25"/>
  <cols>
    <col min="1" max="1" width="26.42578125" bestFit="1" customWidth="1"/>
    <col min="2" max="2" width="6.7109375" customWidth="1"/>
    <col min="3" max="3" width="23.28515625" customWidth="1"/>
    <col min="4" max="4" width="18.5703125" customWidth="1"/>
    <col min="5" max="6" width="8.7109375" customWidth="1"/>
    <col min="7" max="7" width="18.28515625" customWidth="1"/>
    <col min="8" max="8" width="8.7109375" customWidth="1"/>
    <col min="9" max="9" width="22.85546875" customWidth="1"/>
    <col min="10" max="10" width="2.28515625" customWidth="1"/>
    <col min="11" max="11" width="18" customWidth="1"/>
    <col min="12" max="12" width="13" customWidth="1"/>
    <col min="13" max="14" width="12.140625" customWidth="1"/>
    <col min="15" max="15" width="19.5703125" customWidth="1"/>
    <col min="16" max="26" width="8.710937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x14ac:dyDescent="0.35">
      <c r="A2" s="58" t="s">
        <v>46</v>
      </c>
      <c r="B2" s="59"/>
      <c r="C2" s="60"/>
      <c r="D2" s="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 x14ac:dyDescent="0.25">
      <c r="A3" s="61" t="s">
        <v>47</v>
      </c>
      <c r="B3" s="62"/>
      <c r="C3" s="62"/>
      <c r="D3" s="62"/>
      <c r="E3" s="62"/>
      <c r="F3" s="62"/>
      <c r="G3" s="63"/>
      <c r="H3" s="1"/>
      <c r="I3" s="64" t="s">
        <v>48</v>
      </c>
      <c r="J3" s="62"/>
      <c r="K3" s="62"/>
      <c r="L3" s="62"/>
      <c r="M3" s="62"/>
      <c r="N3" s="62"/>
      <c r="O3" s="6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3"/>
      <c r="B4" s="3"/>
      <c r="C4" s="3"/>
      <c r="D4" s="4"/>
      <c r="E4" s="4"/>
      <c r="F4" s="4"/>
      <c r="G4" s="4"/>
      <c r="H4" s="1"/>
      <c r="I4" s="3"/>
      <c r="J4" s="3"/>
      <c r="K4" s="3"/>
      <c r="L4" s="4"/>
      <c r="M4" s="4"/>
      <c r="N4" s="4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25">
      <c r="A5" s="5" t="s">
        <v>49</v>
      </c>
      <c r="B5" s="3"/>
      <c r="C5" s="3"/>
      <c r="D5" s="4"/>
      <c r="E5" s="4"/>
      <c r="F5" s="4"/>
      <c r="G5" s="4"/>
      <c r="H5" s="1"/>
      <c r="I5" s="5" t="s">
        <v>50</v>
      </c>
      <c r="J5" s="3"/>
      <c r="K5" s="3"/>
      <c r="L5" s="4"/>
      <c r="M5" s="4"/>
      <c r="N5" s="4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3"/>
      <c r="B6" s="3"/>
      <c r="C6" s="3"/>
      <c r="D6" s="4"/>
      <c r="E6" s="4"/>
      <c r="F6" s="4"/>
      <c r="G6" s="4"/>
      <c r="H6" s="1"/>
      <c r="I6" s="3"/>
      <c r="J6" s="3"/>
      <c r="K6" s="3"/>
      <c r="L6" s="4"/>
      <c r="M6" s="4"/>
      <c r="N6" s="4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25">
      <c r="A7" s="6">
        <f>SUM(DATA!C14:E14)</f>
        <v>2185000</v>
      </c>
      <c r="B7" s="3"/>
      <c r="C7" s="7" t="s">
        <v>51</v>
      </c>
      <c r="D7" s="4"/>
      <c r="E7" s="4"/>
      <c r="F7" s="4"/>
      <c r="G7" s="4"/>
      <c r="H7" s="1"/>
      <c r="I7" s="8">
        <f>SUM(DATA!R14:T14)</f>
        <v>309</v>
      </c>
      <c r="J7" s="3"/>
      <c r="K7" s="7" t="s">
        <v>52</v>
      </c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3"/>
      <c r="B8" s="3"/>
      <c r="C8" s="7"/>
      <c r="D8" s="4"/>
      <c r="E8" s="4"/>
      <c r="F8" s="4"/>
      <c r="G8" s="4"/>
      <c r="H8" s="1"/>
      <c r="I8" s="3"/>
      <c r="J8" s="3"/>
      <c r="K8" s="3"/>
      <c r="L8" s="4"/>
      <c r="M8" s="4"/>
      <c r="N8" s="4"/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x14ac:dyDescent="0.25">
      <c r="A9" s="6">
        <f>SUM(DATA!F14:H14)</f>
        <v>2325000</v>
      </c>
      <c r="B9" s="3"/>
      <c r="C9" s="7" t="s">
        <v>53</v>
      </c>
      <c r="D9" s="4"/>
      <c r="E9" s="4"/>
      <c r="F9" s="4"/>
      <c r="G9" s="4"/>
      <c r="H9" s="1"/>
      <c r="I9" s="6">
        <f>SUM(DATA!O14:Q14)</f>
        <v>300</v>
      </c>
      <c r="J9" s="3"/>
      <c r="K9" s="7" t="s">
        <v>54</v>
      </c>
      <c r="L9" s="4"/>
      <c r="M9" s="4"/>
      <c r="N9" s="4"/>
      <c r="O9" s="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3"/>
      <c r="B10" s="3"/>
      <c r="C10" s="7"/>
      <c r="D10" s="4"/>
      <c r="E10" s="4"/>
      <c r="F10" s="4"/>
      <c r="G10" s="4"/>
      <c r="H10" s="1"/>
      <c r="I10" s="3"/>
      <c r="J10" s="3"/>
      <c r="K10" s="7"/>
      <c r="L10" s="4"/>
      <c r="M10" s="4"/>
      <c r="N10" s="4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x14ac:dyDescent="0.25">
      <c r="A11" s="9">
        <f>A7/A9</f>
        <v>0.93978494623655917</v>
      </c>
      <c r="B11" s="3"/>
      <c r="C11" s="7" t="s">
        <v>55</v>
      </c>
      <c r="D11" s="4"/>
      <c r="E11" s="4"/>
      <c r="F11" s="4"/>
      <c r="G11" s="4"/>
      <c r="H11" s="1"/>
      <c r="I11" s="9">
        <f>I7/I9</f>
        <v>1.03</v>
      </c>
      <c r="J11" s="3"/>
      <c r="K11" s="7" t="s">
        <v>55</v>
      </c>
      <c r="L11" s="4"/>
      <c r="M11" s="4"/>
      <c r="N11" s="4"/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4"/>
      <c r="B12" s="4"/>
      <c r="C12" s="10"/>
      <c r="D12" s="4"/>
      <c r="E12" s="4"/>
      <c r="F12" s="4"/>
      <c r="G12" s="4"/>
      <c r="H12" s="1"/>
      <c r="I12" s="4"/>
      <c r="J12" s="4"/>
      <c r="K12" s="4"/>
      <c r="L12" s="4"/>
      <c r="M12" s="4"/>
      <c r="N12" s="4"/>
      <c r="O12" s="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1"/>
      <c r="I13" s="4"/>
      <c r="J13" s="4"/>
      <c r="K13" s="4"/>
      <c r="L13" s="4"/>
      <c r="M13" s="4"/>
      <c r="N13" s="4"/>
      <c r="O13" s="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4"/>
      <c r="B14" s="4"/>
      <c r="C14" s="4"/>
      <c r="D14" s="4"/>
      <c r="E14" s="4"/>
      <c r="F14" s="4"/>
      <c r="G14" s="4"/>
      <c r="H14" s="1"/>
      <c r="I14" s="4"/>
      <c r="J14" s="4"/>
      <c r="K14" s="4"/>
      <c r="L14" s="4"/>
      <c r="M14" s="4"/>
      <c r="N14" s="4"/>
      <c r="O14" s="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1"/>
      <c r="I15" s="4"/>
      <c r="J15" s="4"/>
      <c r="K15" s="4"/>
      <c r="L15" s="4"/>
      <c r="M15" s="4"/>
      <c r="N15" s="4"/>
      <c r="O15" s="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5.25" customHeight="1" x14ac:dyDescent="0.25">
      <c r="A16" s="4"/>
      <c r="B16" s="4"/>
      <c r="C16" s="4"/>
      <c r="D16" s="4"/>
      <c r="E16" s="4"/>
      <c r="F16" s="4"/>
      <c r="G16" s="4"/>
      <c r="H16" s="1"/>
      <c r="I16" s="4"/>
      <c r="J16" s="4"/>
      <c r="K16" s="4"/>
      <c r="L16" s="4"/>
      <c r="M16" s="4"/>
      <c r="N16" s="4"/>
      <c r="O16" s="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65" t="s">
        <v>56</v>
      </c>
      <c r="B18" s="66"/>
      <c r="C18" s="66"/>
      <c r="D18" s="66"/>
      <c r="E18" s="66"/>
      <c r="F18" s="66"/>
      <c r="G18" s="67"/>
      <c r="H18" s="1"/>
      <c r="I18" s="71" t="s">
        <v>57</v>
      </c>
      <c r="J18" s="66"/>
      <c r="K18" s="66"/>
      <c r="L18" s="66"/>
      <c r="M18" s="66"/>
      <c r="N18" s="66"/>
      <c r="O18" s="67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68"/>
      <c r="B19" s="69"/>
      <c r="C19" s="69"/>
      <c r="D19" s="69"/>
      <c r="E19" s="69"/>
      <c r="F19" s="69"/>
      <c r="G19" s="70"/>
      <c r="H19" s="1"/>
      <c r="I19" s="68"/>
      <c r="J19" s="69"/>
      <c r="K19" s="69"/>
      <c r="L19" s="69"/>
      <c r="M19" s="69"/>
      <c r="N19" s="69"/>
      <c r="O19" s="70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3"/>
      <c r="B20" s="3"/>
      <c r="C20" s="3"/>
      <c r="D20" s="4"/>
      <c r="E20" s="4"/>
      <c r="F20" s="4"/>
      <c r="G20" s="4"/>
      <c r="H20" s="1"/>
      <c r="I20" s="3"/>
      <c r="J20" s="3"/>
      <c r="K20" s="3"/>
      <c r="L20" s="4"/>
      <c r="M20" s="4"/>
      <c r="N20" s="4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" customHeight="1" x14ac:dyDescent="0.25">
      <c r="A21" s="11" t="s">
        <v>58</v>
      </c>
      <c r="B21" s="3"/>
      <c r="C21" s="3"/>
      <c r="D21" s="4"/>
      <c r="E21" s="4"/>
      <c r="F21" s="4"/>
      <c r="G21" s="4"/>
      <c r="H21" s="1"/>
      <c r="I21" s="12" t="s">
        <v>59</v>
      </c>
      <c r="J21" s="3"/>
      <c r="K21" s="3"/>
      <c r="L21" s="4"/>
      <c r="M21" s="4"/>
      <c r="N21" s="4"/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3"/>
      <c r="B22" s="3"/>
      <c r="C22" s="3"/>
      <c r="D22" s="4"/>
      <c r="E22" s="4"/>
      <c r="F22" s="4"/>
      <c r="G22" s="4"/>
      <c r="H22" s="1"/>
      <c r="I22" s="3"/>
      <c r="J22" s="3"/>
      <c r="K22" s="3"/>
      <c r="L22" s="4"/>
      <c r="M22" s="4"/>
      <c r="N22" s="4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x14ac:dyDescent="0.25">
      <c r="A23" s="6">
        <f>SUM(DATA!AJ14:AL14)/3</f>
        <v>1986.7646666666667</v>
      </c>
      <c r="B23" s="3"/>
      <c r="C23" s="7" t="s">
        <v>60</v>
      </c>
      <c r="D23" s="4"/>
      <c r="E23" s="4"/>
      <c r="F23" s="4"/>
      <c r="G23" s="4"/>
      <c r="H23" s="1"/>
      <c r="I23" s="6">
        <f>SUM(DATA!AA14:AC14)/3</f>
        <v>372.11066666666665</v>
      </c>
      <c r="J23" s="6"/>
      <c r="K23" s="7" t="s">
        <v>61</v>
      </c>
      <c r="L23" s="4"/>
      <c r="M23" s="4"/>
      <c r="N23" s="4"/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x14ac:dyDescent="0.25">
      <c r="A24" s="3"/>
      <c r="B24" s="3"/>
      <c r="C24" s="7"/>
      <c r="D24" s="4"/>
      <c r="E24" s="4"/>
      <c r="F24" s="4"/>
      <c r="G24" s="4"/>
      <c r="H24" s="1"/>
      <c r="I24" s="6"/>
      <c r="J24" s="6"/>
      <c r="K24" s="7"/>
      <c r="L24" s="4"/>
      <c r="M24" s="4"/>
      <c r="N24" s="4"/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x14ac:dyDescent="0.25">
      <c r="A25" s="6">
        <f>SUM(DATA!AP14:AR14)/3</f>
        <v>2500</v>
      </c>
      <c r="B25" s="3"/>
      <c r="C25" s="7" t="s">
        <v>62</v>
      </c>
      <c r="D25" s="4"/>
      <c r="E25" s="4"/>
      <c r="F25" s="4"/>
      <c r="G25" s="4"/>
      <c r="H25" s="1"/>
      <c r="I25" s="6">
        <f>SUM(DATA!AD14:AF14)/3</f>
        <v>333.33333333333331</v>
      </c>
      <c r="J25" s="6"/>
      <c r="K25" s="7" t="s">
        <v>63</v>
      </c>
      <c r="L25" s="4"/>
      <c r="M25" s="4"/>
      <c r="N25" s="4"/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x14ac:dyDescent="0.25">
      <c r="A26" s="3"/>
      <c r="B26" s="3"/>
      <c r="C26" s="7"/>
      <c r="D26" s="4"/>
      <c r="E26" s="4"/>
      <c r="F26" s="4"/>
      <c r="G26" s="4"/>
      <c r="H26" s="1"/>
      <c r="I26" s="6"/>
      <c r="J26" s="6"/>
      <c r="K26" s="7"/>
      <c r="L26" s="4"/>
      <c r="M26" s="4"/>
      <c r="N26" s="4"/>
      <c r="O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x14ac:dyDescent="0.25">
      <c r="A27" s="9">
        <f>A23/A25</f>
        <v>0.79470586666666665</v>
      </c>
      <c r="B27" s="3"/>
      <c r="C27" s="7" t="s">
        <v>55</v>
      </c>
      <c r="D27" s="4"/>
      <c r="E27" s="4"/>
      <c r="F27" s="4"/>
      <c r="G27" s="4"/>
      <c r="H27" s="1"/>
      <c r="I27" s="9">
        <f>I23/I25</f>
        <v>1.1163320000000001</v>
      </c>
      <c r="J27" s="6"/>
      <c r="K27" s="7" t="s">
        <v>55</v>
      </c>
      <c r="L27" s="4"/>
      <c r="M27" s="4"/>
      <c r="N27" s="4"/>
      <c r="O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4"/>
      <c r="B28" s="4"/>
      <c r="C28" s="4"/>
      <c r="D28" s="4"/>
      <c r="E28" s="4"/>
      <c r="F28" s="4"/>
      <c r="G28" s="4"/>
      <c r="H28" s="1"/>
      <c r="I28" s="4"/>
      <c r="J28" s="4"/>
      <c r="K28" s="4"/>
      <c r="L28" s="4"/>
      <c r="M28" s="4"/>
      <c r="N28" s="4"/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1"/>
      <c r="I29" s="4"/>
      <c r="J29" s="4"/>
      <c r="K29" s="4"/>
      <c r="L29" s="4"/>
      <c r="M29" s="4"/>
      <c r="N29" s="4"/>
      <c r="O29" s="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1"/>
      <c r="I30" s="4"/>
      <c r="J30" s="4"/>
      <c r="K30" s="4"/>
      <c r="L30" s="4"/>
      <c r="M30" s="4"/>
      <c r="N30" s="4"/>
      <c r="O30" s="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1"/>
      <c r="I31" s="4"/>
      <c r="J31" s="4"/>
      <c r="K31" s="4"/>
      <c r="L31" s="4"/>
      <c r="M31" s="4"/>
      <c r="N31" s="4"/>
      <c r="O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3.25" customHeight="1" x14ac:dyDescent="0.25">
      <c r="A32" s="4"/>
      <c r="B32" s="4"/>
      <c r="C32" s="4"/>
      <c r="D32" s="4"/>
      <c r="E32" s="4"/>
      <c r="F32" s="4"/>
      <c r="G32" s="4"/>
      <c r="H32" s="1"/>
      <c r="I32" s="4"/>
      <c r="J32" s="4"/>
      <c r="K32" s="4"/>
      <c r="L32" s="4"/>
      <c r="M32" s="4"/>
      <c r="N32" s="4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2:C2"/>
    <mergeCell ref="A3:G3"/>
    <mergeCell ref="I3:O3"/>
    <mergeCell ref="A18:G19"/>
    <mergeCell ref="I18:O19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DATA!$H$1:$H$4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Chinmayi Sutar</cp:lastModifiedBy>
  <dcterms:created xsi:type="dcterms:W3CDTF">2015-06-05T18:17:20Z</dcterms:created>
  <dcterms:modified xsi:type="dcterms:W3CDTF">2026-07-14T10:54:45Z</dcterms:modified>
</cp:coreProperties>
</file>