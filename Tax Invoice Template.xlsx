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81f21077e05380c/Desktop/Chinmayi/Develearn/Advanced Excel/"/>
    </mc:Choice>
  </mc:AlternateContent>
  <xr:revisionPtr revIDLastSave="35" documentId="13_ncr:1_{4C84D6CB-99FE-44E6-A809-F49675629384}" xr6:coauthVersionLast="47" xr6:coauthVersionMax="47" xr10:uidLastSave="{524EFBB4-EBD7-4400-9D01-14D8B63B2298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" l="1"/>
  <c r="G34" i="1"/>
  <c r="G33" i="1"/>
  <c r="G32" i="1"/>
  <c r="G31" i="1"/>
  <c r="G29" i="1"/>
  <c r="G19" i="1"/>
  <c r="G20" i="1"/>
  <c r="G21" i="1"/>
  <c r="G22" i="1"/>
  <c r="G23" i="1"/>
  <c r="G24" i="1"/>
  <c r="G25" i="1"/>
  <c r="G26" i="1"/>
  <c r="G27" i="1"/>
  <c r="G17" i="1"/>
  <c r="G18" i="1"/>
  <c r="G16" i="1"/>
</calcChain>
</file>

<file path=xl/sharedStrings.xml><?xml version="1.0" encoding="utf-8"?>
<sst xmlns="http://schemas.openxmlformats.org/spreadsheetml/2006/main" count="68" uniqueCount="68">
  <si>
    <t>Kamla Industrial Area,</t>
  </si>
  <si>
    <t>Mumbai, Maharashtra-407892,</t>
  </si>
  <si>
    <t>India</t>
  </si>
  <si>
    <t>Sr. No.</t>
  </si>
  <si>
    <t>Qty</t>
  </si>
  <si>
    <t>Rate</t>
  </si>
  <si>
    <t>Amount</t>
  </si>
  <si>
    <t>Total</t>
  </si>
  <si>
    <t>Taxable Amount</t>
  </si>
  <si>
    <t>Total Amount After Tax</t>
  </si>
  <si>
    <t>Customer Detail</t>
  </si>
  <si>
    <t>M/S</t>
  </si>
  <si>
    <t>Shree Engineering</t>
  </si>
  <si>
    <t>Address</t>
  </si>
  <si>
    <t>Nathniketan Business Park A, Chennai, 
Tamil Nadu 345789, India</t>
  </si>
  <si>
    <t>Phone</t>
  </si>
  <si>
    <t>GSTIN</t>
  </si>
  <si>
    <t>24ABFCSR345RFE21</t>
  </si>
  <si>
    <t>ARC-4536-32</t>
  </si>
  <si>
    <t>344ADCVGH34289</t>
  </si>
  <si>
    <t>Deepak Carriers</t>
  </si>
  <si>
    <t>Name of Product/Service</t>
  </si>
  <si>
    <t>HSN/SAC</t>
  </si>
  <si>
    <t>Place of Supply</t>
  </si>
  <si>
    <t>Tamil Nadu</t>
  </si>
  <si>
    <r>
      <rPr>
        <b/>
        <sz val="10"/>
        <color theme="1"/>
        <rFont val="Arial"/>
        <family val="2"/>
      </rPr>
      <t xml:space="preserve">PAN: 45RLCPD2922W1 </t>
    </r>
    <r>
      <rPr>
        <sz val="10"/>
        <color theme="1"/>
        <rFont val="Arial"/>
        <family val="2"/>
      </rPr>
      <t xml:space="preserve">                            </t>
    </r>
    <r>
      <rPr>
        <b/>
        <sz val="14"/>
        <color theme="1"/>
        <rFont val="Arial"/>
        <family val="2"/>
      </rPr>
      <t>TAX INVOICE</t>
    </r>
    <r>
      <rPr>
        <sz val="14"/>
        <color theme="1"/>
        <rFont val="Arial"/>
        <family val="2"/>
      </rPr>
      <t xml:space="preserve">   </t>
    </r>
    <r>
      <rPr>
        <sz val="10"/>
        <color theme="1"/>
        <rFont val="Arial"/>
        <family val="2"/>
      </rPr>
      <t xml:space="preserve">                                      </t>
    </r>
    <r>
      <rPr>
        <b/>
        <sz val="10"/>
        <color theme="1"/>
        <rFont val="Arial"/>
        <family val="2"/>
      </rPr>
      <t>O</t>
    </r>
    <r>
      <rPr>
        <b/>
        <sz val="9"/>
        <color theme="1"/>
        <rFont val="Arial"/>
        <family val="2"/>
      </rPr>
      <t>RIGINAL FOR RECIPIENT</t>
    </r>
  </si>
  <si>
    <t>Total in Words</t>
  </si>
  <si>
    <t>Bank Details</t>
  </si>
  <si>
    <t>Date:</t>
  </si>
  <si>
    <t xml:space="preserve">Tel: </t>
  </si>
  <si>
    <t>S.L.C. DIGITAL</t>
  </si>
  <si>
    <t xml:space="preserve">Email: </t>
  </si>
  <si>
    <t>info@slc.com</t>
  </si>
  <si>
    <t>Web:</t>
  </si>
  <si>
    <t>www.slcdigital.com</t>
  </si>
  <si>
    <t>Name</t>
  </si>
  <si>
    <t>Branch</t>
  </si>
  <si>
    <t>IFSC</t>
  </si>
  <si>
    <t>UPI ID</t>
  </si>
  <si>
    <t>HSBC</t>
  </si>
  <si>
    <t>Mumbai</t>
  </si>
  <si>
    <t>HSBC001</t>
  </si>
  <si>
    <t>DeepCa@ok.hsbc</t>
  </si>
  <si>
    <t>Terms and Conditions</t>
  </si>
  <si>
    <t>Acc No.</t>
  </si>
  <si>
    <t>Taxation as per Maharashtra state</t>
  </si>
  <si>
    <t>Goods once sold will not be taken back</t>
  </si>
  <si>
    <t>To be paid in full within 7 days of receiving the invoice</t>
  </si>
  <si>
    <t>Delivery Ex-premises</t>
  </si>
  <si>
    <t>Customer Signature</t>
  </si>
  <si>
    <t>THANK YOU FOR DOING BUSINESS WITH US</t>
  </si>
  <si>
    <t>Authorised Signatory</t>
  </si>
  <si>
    <r>
      <t xml:space="preserve">Certified that the above particulars given are true               </t>
    </r>
    <r>
      <rPr>
        <b/>
        <sz val="12"/>
        <color theme="1"/>
        <rFont val="Calibri"/>
        <family val="2"/>
        <scheme val="minor"/>
      </rPr>
      <t>FOR S.L.C DIGITAL</t>
    </r>
  </si>
  <si>
    <t>This is computer generated 
invoice no signature required.</t>
  </si>
  <si>
    <t>Invoice No.:</t>
  </si>
  <si>
    <t>Invoice Date:</t>
  </si>
  <si>
    <t>Challan No.:</t>
  </si>
  <si>
    <t>Challan Date:</t>
  </si>
  <si>
    <t>E-Way Bill No.:</t>
  </si>
  <si>
    <t>Transport:</t>
  </si>
  <si>
    <t>Transport ID:</t>
  </si>
  <si>
    <t>Wireless Computer Mouse</t>
  </si>
  <si>
    <t>LED Desk</t>
  </si>
  <si>
    <t>USB Flash Drive (64GB)</t>
  </si>
  <si>
    <t>Website Maintenance Service</t>
  </si>
  <si>
    <t>Discount @</t>
  </si>
  <si>
    <t>SGST Rate @</t>
  </si>
  <si>
    <t>CGST Rate 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</si>
</sst>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22"/>
      <color theme="1"/>
      <name val="Aptos Slab ExtraBold"/>
      <family val="2"/>
    </font>
    <font>
      <sz val="14"/>
      <color theme="1"/>
      <name val="Arial"/>
      <family val="2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vertical="center"/>
    </xf>
    <xf numFmtId="0" fontId="0" fillId="0" borderId="3" xfId="0" applyBorder="1"/>
    <xf numFmtId="0" fontId="0" fillId="0" borderId="4" xfId="0" applyBorder="1"/>
    <xf numFmtId="0" fontId="3" fillId="0" borderId="5" xfId="0" applyFont="1" applyBorder="1" applyAlignment="1">
      <alignment vertical="center"/>
    </xf>
    <xf numFmtId="0" fontId="0" fillId="0" borderId="6" xfId="0" applyBorder="1"/>
    <xf numFmtId="0" fontId="3" fillId="0" borderId="7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0" fillId="0" borderId="0" xfId="0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vertical="top"/>
    </xf>
    <xf numFmtId="0" fontId="3" fillId="0" borderId="11" xfId="0" applyFont="1" applyBorder="1" applyAlignment="1">
      <alignment vertical="top"/>
    </xf>
    <xf numFmtId="0" fontId="0" fillId="0" borderId="12" xfId="0" applyBorder="1"/>
    <xf numFmtId="0" fontId="0" fillId="0" borderId="6" xfId="0" applyBorder="1" applyAlignment="1">
      <alignment wrapText="1"/>
    </xf>
    <xf numFmtId="0" fontId="0" fillId="0" borderId="6" xfId="0" applyBorder="1" applyAlignment="1">
      <alignment horizontal="left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5" xfId="0" applyBorder="1"/>
    <xf numFmtId="0" fontId="0" fillId="0" borderId="5" xfId="0" applyBorder="1" applyAlignment="1">
      <alignment vertical="top"/>
    </xf>
    <xf numFmtId="0" fontId="0" fillId="0" borderId="7" xfId="0" applyBorder="1" applyAlignment="1">
      <alignment vertical="top"/>
    </xf>
    <xf numFmtId="0" fontId="3" fillId="0" borderId="8" xfId="0" applyFont="1" applyBorder="1" applyAlignment="1">
      <alignment vertical="top"/>
    </xf>
    <xf numFmtId="0" fontId="0" fillId="0" borderId="8" xfId="0" applyBorder="1" applyAlignment="1">
      <alignment vertical="top"/>
    </xf>
    <xf numFmtId="0" fontId="3" fillId="0" borderId="8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5" xfId="0" applyFont="1" applyBorder="1" applyAlignment="1">
      <alignment wrapText="1"/>
    </xf>
    <xf numFmtId="0" fontId="2" fillId="0" borderId="5" xfId="0" applyFont="1" applyBorder="1" applyAlignment="1">
      <alignment vertical="top"/>
    </xf>
    <xf numFmtId="0" fontId="0" fillId="0" borderId="7" xfId="0" applyBorder="1"/>
    <xf numFmtId="0" fontId="2" fillId="0" borderId="1" xfId="0" applyFont="1" applyBorder="1" applyAlignment="1">
      <alignment wrapText="1"/>
    </xf>
    <xf numFmtId="0" fontId="0" fillId="0" borderId="13" xfId="0" applyBorder="1"/>
    <xf numFmtId="0" fontId="0" fillId="0" borderId="14" xfId="0" applyBorder="1"/>
    <xf numFmtId="0" fontId="1" fillId="0" borderId="10" xfId="0" applyFont="1" applyBorder="1"/>
    <xf numFmtId="0" fontId="4" fillId="0" borderId="6" xfId="1" applyBorder="1"/>
    <xf numFmtId="0" fontId="4" fillId="0" borderId="9" xfId="1" applyFill="1" applyBorder="1"/>
    <xf numFmtId="0" fontId="0" fillId="0" borderId="3" xfId="0" applyBorder="1" applyAlignment="1">
      <alignment horizontal="left"/>
    </xf>
    <xf numFmtId="15" fontId="0" fillId="0" borderId="0" xfId="0" applyNumberFormat="1" applyAlignment="1">
      <alignment horizontal="left"/>
    </xf>
    <xf numFmtId="15" fontId="0" fillId="0" borderId="0" xfId="0" applyNumberFormat="1" applyAlignment="1">
      <alignment horizontal="left" vertical="top"/>
    </xf>
    <xf numFmtId="15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4" fillId="0" borderId="9" xfId="1" applyBorder="1" applyAlignment="1">
      <alignment horizontal="left"/>
    </xf>
    <xf numFmtId="0" fontId="0" fillId="0" borderId="6" xfId="0" applyBorder="1" applyAlignment="1">
      <alignment horizontal="left" vertical="center"/>
    </xf>
    <xf numFmtId="0" fontId="1" fillId="0" borderId="2" xfId="0" applyFont="1" applyBorder="1" applyAlignment="1">
      <alignment horizontal="left" vertical="top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9" fillId="0" borderId="10" xfId="0" applyFont="1" applyBorder="1" applyAlignment="1">
      <alignment horizontal="center" wrapText="1"/>
    </xf>
    <xf numFmtId="0" fontId="9" fillId="0" borderId="11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0" xfId="0" applyBorder="1"/>
    <xf numFmtId="0" fontId="0" fillId="0" borderId="12" xfId="0" applyBorder="1"/>
    <xf numFmtId="0" fontId="0" fillId="0" borderId="2" xfId="0" applyBorder="1" applyAlignment="1">
      <alignment horizontal="center" vertical="center" textRotation="45" wrapText="1"/>
    </xf>
    <xf numFmtId="0" fontId="0" fillId="0" borderId="3" xfId="0" applyBorder="1" applyAlignment="1">
      <alignment horizontal="center" vertical="center" textRotation="45"/>
    </xf>
    <xf numFmtId="0" fontId="0" fillId="0" borderId="4" xfId="0" applyBorder="1" applyAlignment="1">
      <alignment horizontal="center" vertical="center" textRotation="45"/>
    </xf>
    <xf numFmtId="0" fontId="0" fillId="0" borderId="5" xfId="0" applyBorder="1" applyAlignment="1">
      <alignment horizontal="center" vertical="center" textRotation="45"/>
    </xf>
    <xf numFmtId="0" fontId="0" fillId="0" borderId="0" xfId="0" applyAlignment="1">
      <alignment horizontal="center" vertical="center" textRotation="45"/>
    </xf>
    <xf numFmtId="0" fontId="0" fillId="0" borderId="6" xfId="0" applyBorder="1" applyAlignment="1">
      <alignment horizontal="center" vertical="center" textRotation="45"/>
    </xf>
    <xf numFmtId="0" fontId="0" fillId="0" borderId="7" xfId="0" applyBorder="1" applyAlignment="1">
      <alignment horizontal="center" vertical="center" textRotation="45"/>
    </xf>
    <xf numFmtId="0" fontId="0" fillId="0" borderId="8" xfId="0" applyBorder="1" applyAlignment="1">
      <alignment horizontal="center" vertical="center" textRotation="45"/>
    </xf>
    <xf numFmtId="0" fontId="0" fillId="0" borderId="9" xfId="0" applyBorder="1" applyAlignment="1">
      <alignment horizontal="center" vertical="center" textRotation="45"/>
    </xf>
    <xf numFmtId="9" fontId="0" fillId="0" borderId="1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2419351</xdr:colOff>
      <xdr:row>1</xdr:row>
      <xdr:rowOff>76200</xdr:rowOff>
    </xdr:from>
    <xdr:to>
      <xdr:col>3</xdr:col>
      <xdr:colOff>205609</xdr:colOff>
      <xdr:row>4</xdr:row>
      <xdr:rowOff>66675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FC6600-498F-25A7-E0FE-5B68C72C25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38551" y="266700"/>
          <a:ext cx="805683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DeepCa@ok.hsbc" TargetMode="External"/><Relationship Id="rId2" Type="http://schemas.openxmlformats.org/officeDocument/2006/relationships/hyperlink" Target="http://www.slcdigital.com/" TargetMode="External"/><Relationship Id="rId1" Type="http://schemas.openxmlformats.org/officeDocument/2006/relationships/hyperlink" Target="mailto:info@slc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G46"/>
  <sheetViews>
    <sheetView showGridLines="0" tabSelected="1" workbookViewId="0">
      <selection activeCell="D36" sqref="D36:G36"/>
    </sheetView>
  </sheetViews>
  <sheetFormatPr defaultRowHeight="15" x14ac:dyDescent="0.25"/>
  <cols>
    <col min="1" max="1" width="4" customWidth="1"/>
    <col min="2" max="2" width="8.42578125" customWidth="1"/>
    <col min="3" max="3" width="45.28515625" customWidth="1"/>
    <col min="4" max="4" width="11.42578125" customWidth="1"/>
    <col min="5" max="5" width="7.85546875" customWidth="1"/>
    <col min="6" max="6" width="9.140625" customWidth="1"/>
    <col min="7" max="7" width="18.7109375" bestFit="1" customWidth="1"/>
    <col min="8" max="8" width="24.42578125" customWidth="1"/>
  </cols>
  <sheetData>
    <row r="2" spans="2:7" ht="28.5" x14ac:dyDescent="0.25">
      <c r="B2" s="26" t="s">
        <v>30</v>
      </c>
      <c r="C2" s="2"/>
      <c r="D2" s="2"/>
      <c r="E2" s="2"/>
      <c r="F2" s="2" t="s">
        <v>28</v>
      </c>
      <c r="G2" s="40">
        <v>46038</v>
      </c>
    </row>
    <row r="3" spans="2:7" x14ac:dyDescent="0.25">
      <c r="B3" s="27" t="s">
        <v>0</v>
      </c>
      <c r="F3" s="1" t="s">
        <v>29</v>
      </c>
      <c r="G3" s="17">
        <v>2224563899</v>
      </c>
    </row>
    <row r="4" spans="2:7" x14ac:dyDescent="0.25">
      <c r="B4" s="4" t="s">
        <v>1</v>
      </c>
      <c r="F4" t="s">
        <v>33</v>
      </c>
      <c r="G4" s="35" t="s">
        <v>34</v>
      </c>
    </row>
    <row r="5" spans="2:7" x14ac:dyDescent="0.25">
      <c r="B5" s="6" t="s">
        <v>2</v>
      </c>
      <c r="C5" s="7"/>
      <c r="D5" s="7"/>
      <c r="E5" s="7"/>
      <c r="F5" s="25" t="s">
        <v>31</v>
      </c>
      <c r="G5" s="36" t="s">
        <v>32</v>
      </c>
    </row>
    <row r="6" spans="2:7" ht="18" x14ac:dyDescent="0.25">
      <c r="B6" s="51" t="s">
        <v>25</v>
      </c>
      <c r="C6" s="52"/>
      <c r="D6" s="52"/>
      <c r="E6" s="52"/>
      <c r="F6" s="52"/>
      <c r="G6" s="53"/>
    </row>
    <row r="7" spans="2:7" x14ac:dyDescent="0.25">
      <c r="B7" s="54" t="s">
        <v>10</v>
      </c>
      <c r="C7" s="55"/>
      <c r="D7" s="18" t="s">
        <v>54</v>
      </c>
      <c r="E7" s="19"/>
      <c r="F7" s="37" t="s">
        <v>18</v>
      </c>
      <c r="G7" s="3"/>
    </row>
    <row r="8" spans="2:7" x14ac:dyDescent="0.25">
      <c r="B8" s="28" t="s">
        <v>11</v>
      </c>
      <c r="C8" s="5" t="s">
        <v>12</v>
      </c>
      <c r="D8" s="20" t="s">
        <v>55</v>
      </c>
      <c r="E8" s="1"/>
      <c r="F8" s="38">
        <v>46043</v>
      </c>
      <c r="G8" s="5"/>
    </row>
    <row r="9" spans="2:7" ht="30" x14ac:dyDescent="0.25">
      <c r="B9" s="29" t="s">
        <v>13</v>
      </c>
      <c r="C9" s="16" t="s">
        <v>14</v>
      </c>
      <c r="D9" s="20" t="s">
        <v>56</v>
      </c>
      <c r="F9" s="10">
        <v>33</v>
      </c>
      <c r="G9" s="5"/>
    </row>
    <row r="10" spans="2:7" x14ac:dyDescent="0.25">
      <c r="B10" s="28" t="s">
        <v>15</v>
      </c>
      <c r="C10" s="17">
        <v>9945673289</v>
      </c>
      <c r="D10" s="21" t="s">
        <v>57</v>
      </c>
      <c r="F10" s="39">
        <v>46037</v>
      </c>
      <c r="G10" s="5"/>
    </row>
    <row r="11" spans="2:7" ht="20.25" customHeight="1" x14ac:dyDescent="0.25">
      <c r="B11" s="28" t="s">
        <v>16</v>
      </c>
      <c r="C11" s="5" t="s">
        <v>17</v>
      </c>
      <c r="D11" s="20" t="s">
        <v>58</v>
      </c>
      <c r="E11" s="1"/>
      <c r="F11" s="10">
        <v>3893475</v>
      </c>
      <c r="G11" s="5"/>
    </row>
    <row r="12" spans="2:7" ht="33.75" customHeight="1" x14ac:dyDescent="0.25">
      <c r="B12" s="28" t="s">
        <v>23</v>
      </c>
      <c r="C12" s="43" t="s">
        <v>24</v>
      </c>
      <c r="D12" s="20" t="s">
        <v>59</v>
      </c>
      <c r="E12" s="1"/>
      <c r="F12" t="s">
        <v>20</v>
      </c>
      <c r="G12" s="5"/>
    </row>
    <row r="13" spans="2:7" x14ac:dyDescent="0.25">
      <c r="B13" s="30"/>
      <c r="C13" s="8"/>
      <c r="D13" s="22" t="s">
        <v>60</v>
      </c>
      <c r="E13" s="23"/>
      <c r="F13" s="24" t="s">
        <v>19</v>
      </c>
      <c r="G13" s="8"/>
    </row>
    <row r="14" spans="2:7" x14ac:dyDescent="0.25">
      <c r="B14" s="11"/>
      <c r="C14" s="12"/>
      <c r="D14" s="13"/>
      <c r="E14" s="14"/>
      <c r="F14" s="13"/>
      <c r="G14" s="15"/>
    </row>
    <row r="15" spans="2:7" x14ac:dyDescent="0.25">
      <c r="B15" s="31" t="s">
        <v>3</v>
      </c>
      <c r="C15" s="31" t="s">
        <v>21</v>
      </c>
      <c r="D15" s="31" t="s">
        <v>22</v>
      </c>
      <c r="E15" s="31" t="s">
        <v>4</v>
      </c>
      <c r="F15" s="31" t="s">
        <v>5</v>
      </c>
      <c r="G15" s="31" t="s">
        <v>6</v>
      </c>
    </row>
    <row r="16" spans="2:7" x14ac:dyDescent="0.25">
      <c r="B16" s="32">
        <v>1</v>
      </c>
      <c r="C16" s="32" t="s">
        <v>61</v>
      </c>
      <c r="D16" s="32">
        <v>8471</v>
      </c>
      <c r="E16" s="32">
        <v>2</v>
      </c>
      <c r="F16" s="32">
        <v>750</v>
      </c>
      <c r="G16" s="32">
        <f>E16*F16</f>
        <v>1500</v>
      </c>
    </row>
    <row r="17" spans="2:7" x14ac:dyDescent="0.25">
      <c r="B17" s="32">
        <v>2</v>
      </c>
      <c r="C17" s="32" t="s">
        <v>62</v>
      </c>
      <c r="D17" s="32">
        <v>9405</v>
      </c>
      <c r="E17" s="32">
        <v>1</v>
      </c>
      <c r="F17" s="32">
        <v>1200</v>
      </c>
      <c r="G17" s="32">
        <f t="shared" ref="G17:G27" si="0">E17*F17</f>
        <v>1200</v>
      </c>
    </row>
    <row r="18" spans="2:7" x14ac:dyDescent="0.25">
      <c r="B18" s="32">
        <v>3</v>
      </c>
      <c r="C18" s="32" t="s">
        <v>63</v>
      </c>
      <c r="D18" s="32">
        <v>8523</v>
      </c>
      <c r="E18" s="32">
        <v>3</v>
      </c>
      <c r="F18" s="32">
        <v>600</v>
      </c>
      <c r="G18" s="32">
        <f t="shared" si="0"/>
        <v>1800</v>
      </c>
    </row>
    <row r="19" spans="2:7" x14ac:dyDescent="0.25">
      <c r="B19" s="32">
        <v>4</v>
      </c>
      <c r="C19" s="32" t="s">
        <v>64</v>
      </c>
      <c r="D19" s="32">
        <v>998314</v>
      </c>
      <c r="E19" s="32">
        <v>1</v>
      </c>
      <c r="F19" s="32">
        <v>5000</v>
      </c>
      <c r="G19" s="32">
        <f>E19*F19</f>
        <v>5000</v>
      </c>
    </row>
    <row r="20" spans="2:7" x14ac:dyDescent="0.25">
      <c r="B20" s="32"/>
      <c r="C20" s="32"/>
      <c r="D20" s="32"/>
      <c r="E20" s="32"/>
      <c r="F20" s="32"/>
      <c r="G20" s="32">
        <f t="shared" si="0"/>
        <v>0</v>
      </c>
    </row>
    <row r="21" spans="2:7" x14ac:dyDescent="0.25">
      <c r="B21" s="32"/>
      <c r="C21" s="32"/>
      <c r="D21" s="32"/>
      <c r="E21" s="32"/>
      <c r="F21" s="32"/>
      <c r="G21" s="32">
        <f t="shared" si="0"/>
        <v>0</v>
      </c>
    </row>
    <row r="22" spans="2:7" x14ac:dyDescent="0.25">
      <c r="B22" s="32"/>
      <c r="C22" s="32"/>
      <c r="D22" s="32"/>
      <c r="E22" s="32"/>
      <c r="F22" s="32"/>
      <c r="G22" s="32">
        <f t="shared" si="0"/>
        <v>0</v>
      </c>
    </row>
    <row r="23" spans="2:7" x14ac:dyDescent="0.25">
      <c r="B23" s="32"/>
      <c r="C23" s="32"/>
      <c r="D23" s="32"/>
      <c r="E23" s="32"/>
      <c r="F23" s="32"/>
      <c r="G23" s="32">
        <f t="shared" si="0"/>
        <v>0</v>
      </c>
    </row>
    <row r="24" spans="2:7" x14ac:dyDescent="0.25">
      <c r="B24" s="32"/>
      <c r="C24" s="32"/>
      <c r="D24" s="32"/>
      <c r="E24" s="32"/>
      <c r="F24" s="32"/>
      <c r="G24" s="32">
        <f t="shared" si="0"/>
        <v>0</v>
      </c>
    </row>
    <row r="25" spans="2:7" x14ac:dyDescent="0.25">
      <c r="B25" s="32"/>
      <c r="C25" s="32"/>
      <c r="D25" s="32"/>
      <c r="E25" s="32"/>
      <c r="F25" s="32"/>
      <c r="G25" s="32">
        <f t="shared" si="0"/>
        <v>0</v>
      </c>
    </row>
    <row r="26" spans="2:7" x14ac:dyDescent="0.25">
      <c r="B26" s="32"/>
      <c r="C26" s="32"/>
      <c r="D26" s="32"/>
      <c r="E26" s="32"/>
      <c r="F26" s="32"/>
      <c r="G26" s="32">
        <f t="shared" si="0"/>
        <v>0</v>
      </c>
    </row>
    <row r="27" spans="2:7" x14ac:dyDescent="0.25">
      <c r="B27" s="32"/>
      <c r="C27" s="32"/>
      <c r="D27" s="32"/>
      <c r="E27" s="32"/>
      <c r="F27" s="32"/>
      <c r="G27" s="32">
        <f t="shared" si="0"/>
        <v>0</v>
      </c>
    </row>
    <row r="28" spans="2:7" ht="0.75" customHeight="1" x14ac:dyDescent="0.25">
      <c r="B28" s="33"/>
      <c r="C28" s="33"/>
      <c r="D28" s="33"/>
      <c r="E28" s="33"/>
      <c r="F28" s="33"/>
      <c r="G28" s="33"/>
    </row>
    <row r="29" spans="2:7" x14ac:dyDescent="0.25">
      <c r="B29" s="9" t="s">
        <v>7</v>
      </c>
      <c r="C29" s="9"/>
      <c r="D29" s="9"/>
      <c r="E29" s="9"/>
      <c r="F29" s="9"/>
      <c r="G29" s="9">
        <f>SUM(G16:G27)</f>
        <v>9500</v>
      </c>
    </row>
    <row r="30" spans="2:7" x14ac:dyDescent="0.25">
      <c r="B30" s="11"/>
      <c r="C30" s="12"/>
      <c r="D30" s="12"/>
      <c r="E30" s="12"/>
      <c r="F30" s="12"/>
      <c r="G30" s="15"/>
    </row>
    <row r="31" spans="2:7" x14ac:dyDescent="0.25">
      <c r="B31" s="45" t="s">
        <v>26</v>
      </c>
      <c r="C31" s="47"/>
      <c r="D31" s="34" t="s">
        <v>65</v>
      </c>
      <c r="E31" s="67">
        <v>0.01</v>
      </c>
      <c r="F31" s="12"/>
      <c r="G31" s="15">
        <f>G29*(1-$E$31)</f>
        <v>9405</v>
      </c>
    </row>
    <row r="32" spans="2:7" x14ac:dyDescent="0.25">
      <c r="B32" s="56"/>
      <c r="C32" s="57"/>
      <c r="D32" s="34" t="s">
        <v>8</v>
      </c>
      <c r="E32" s="12"/>
      <c r="F32" s="12"/>
      <c r="G32" s="15">
        <f>G31</f>
        <v>9405</v>
      </c>
    </row>
    <row r="33" spans="2:7" x14ac:dyDescent="0.25">
      <c r="B33" s="45" t="s">
        <v>27</v>
      </c>
      <c r="C33" s="47"/>
      <c r="D33" s="34" t="s">
        <v>66</v>
      </c>
      <c r="E33" s="67">
        <v>0.09</v>
      </c>
      <c r="F33" s="12"/>
      <c r="G33" s="15">
        <f>G32*$E$33</f>
        <v>846.44999999999993</v>
      </c>
    </row>
    <row r="34" spans="2:7" x14ac:dyDescent="0.25">
      <c r="B34" s="18" t="s">
        <v>35</v>
      </c>
      <c r="C34" s="41" t="s">
        <v>39</v>
      </c>
      <c r="D34" s="34" t="s">
        <v>67</v>
      </c>
      <c r="E34" s="67">
        <v>0.09</v>
      </c>
      <c r="F34" s="12"/>
      <c r="G34" s="15">
        <f>G32*$E$34</f>
        <v>846.44999999999993</v>
      </c>
    </row>
    <row r="35" spans="2:7" ht="18" customHeight="1" x14ac:dyDescent="0.25">
      <c r="B35" s="20" t="s">
        <v>36</v>
      </c>
      <c r="C35" s="17" t="s">
        <v>40</v>
      </c>
      <c r="D35" s="34" t="s">
        <v>9</v>
      </c>
      <c r="E35" s="12"/>
      <c r="F35" s="12"/>
      <c r="G35" s="15">
        <f>SUM(G32:G34)</f>
        <v>11097.900000000001</v>
      </c>
    </row>
    <row r="36" spans="2:7" ht="30.75" customHeight="1" x14ac:dyDescent="0.25">
      <c r="B36" s="20" t="s">
        <v>44</v>
      </c>
      <c r="C36" s="17">
        <v>67833992221</v>
      </c>
      <c r="D36" s="48" t="s">
        <v>52</v>
      </c>
      <c r="E36" s="49"/>
      <c r="F36" s="49"/>
      <c r="G36" s="50"/>
    </row>
    <row r="37" spans="2:7" ht="19.5" customHeight="1" x14ac:dyDescent="0.25">
      <c r="B37" s="20" t="s">
        <v>37</v>
      </c>
      <c r="C37" s="17" t="s">
        <v>41</v>
      </c>
      <c r="D37" s="58" t="s">
        <v>53</v>
      </c>
      <c r="E37" s="59"/>
      <c r="F37" s="59"/>
      <c r="G37" s="60"/>
    </row>
    <row r="38" spans="2:7" ht="19.5" customHeight="1" x14ac:dyDescent="0.25">
      <c r="B38" s="30" t="s">
        <v>38</v>
      </c>
      <c r="C38" s="42" t="s">
        <v>42</v>
      </c>
      <c r="D38" s="61"/>
      <c r="E38" s="62"/>
      <c r="F38" s="62"/>
      <c r="G38" s="63"/>
    </row>
    <row r="39" spans="2:7" x14ac:dyDescent="0.25">
      <c r="B39" s="45" t="s">
        <v>43</v>
      </c>
      <c r="C39" s="47"/>
      <c r="D39" s="61"/>
      <c r="E39" s="62"/>
      <c r="F39" s="62"/>
      <c r="G39" s="63"/>
    </row>
    <row r="40" spans="2:7" x14ac:dyDescent="0.25">
      <c r="B40" s="18" t="s">
        <v>45</v>
      </c>
      <c r="C40" s="3"/>
      <c r="D40" s="61"/>
      <c r="E40" s="62"/>
      <c r="F40" s="62"/>
      <c r="G40" s="63"/>
    </row>
    <row r="41" spans="2:7" x14ac:dyDescent="0.25">
      <c r="B41" s="20" t="s">
        <v>47</v>
      </c>
      <c r="C41" s="5"/>
      <c r="D41" s="61"/>
      <c r="E41" s="62"/>
      <c r="F41" s="62"/>
      <c r="G41" s="63"/>
    </row>
    <row r="42" spans="2:7" x14ac:dyDescent="0.25">
      <c r="B42" s="20" t="s">
        <v>46</v>
      </c>
      <c r="C42" s="5"/>
      <c r="D42" s="61"/>
      <c r="E42" s="62"/>
      <c r="F42" s="62"/>
      <c r="G42" s="63"/>
    </row>
    <row r="43" spans="2:7" x14ac:dyDescent="0.25">
      <c r="B43" s="20" t="s">
        <v>48</v>
      </c>
      <c r="C43" s="5"/>
      <c r="D43" s="61"/>
      <c r="E43" s="62"/>
      <c r="F43" s="62"/>
      <c r="G43" s="63"/>
    </row>
    <row r="44" spans="2:7" ht="15.75" customHeight="1" x14ac:dyDescent="0.25">
      <c r="B44" s="44" t="s">
        <v>49</v>
      </c>
      <c r="C44" s="3"/>
      <c r="D44" s="64"/>
      <c r="E44" s="65"/>
      <c r="F44" s="65"/>
      <c r="G44" s="66"/>
    </row>
    <row r="45" spans="2:7" x14ac:dyDescent="0.25">
      <c r="B45" s="30"/>
      <c r="C45" s="8"/>
      <c r="D45" s="45" t="s">
        <v>51</v>
      </c>
      <c r="E45" s="46"/>
      <c r="F45" s="46"/>
      <c r="G45" s="47"/>
    </row>
    <row r="46" spans="2:7" x14ac:dyDescent="0.25">
      <c r="B46" s="10" t="s">
        <v>50</v>
      </c>
    </row>
  </sheetData>
  <mergeCells count="9">
    <mergeCell ref="D45:G45"/>
    <mergeCell ref="D36:G36"/>
    <mergeCell ref="B6:G6"/>
    <mergeCell ref="B7:C7"/>
    <mergeCell ref="B31:C31"/>
    <mergeCell ref="B32:C32"/>
    <mergeCell ref="B33:C33"/>
    <mergeCell ref="B39:C39"/>
    <mergeCell ref="D37:G44"/>
  </mergeCells>
  <hyperlinks>
    <hyperlink ref="G5" r:id="rId1" xr:uid="{9016953E-9D5A-4EB0-829A-4ABA5BDD65EC}"/>
    <hyperlink ref="G4" r:id="rId2" xr:uid="{F2BECA67-A316-468A-B5FD-BEC3A3AFBF84}"/>
    <hyperlink ref="C38" r:id="rId3" xr:uid="{188A41E9-E870-4E23-A679-61807B0FD0DE}"/>
  </hyperlinks>
  <pageMargins left="0.25" right="0.25" top="0.75" bottom="0.75" header="0.3" footer="0.3"/>
  <pageSetup paperSize="9" scale="94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Nimish Sutar</cp:lastModifiedBy>
  <cp:lastPrinted>2026-06-26T18:49:01Z</cp:lastPrinted>
  <dcterms:created xsi:type="dcterms:W3CDTF">2015-06-05T18:17:20Z</dcterms:created>
  <dcterms:modified xsi:type="dcterms:W3CDTF">2026-06-30T10:50:24Z</dcterms:modified>
</cp:coreProperties>
</file>