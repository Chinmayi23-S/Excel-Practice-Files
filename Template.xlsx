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Excel\"/>
    </mc:Choice>
  </mc:AlternateContent>
  <xr:revisionPtr revIDLastSave="0" documentId="13_ncr:1_{C8EAF821-9DA1-4736-B93A-7D621EB47C6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+ijccjK6hK/HNRsWTB4dRSvfcQkQss6IjKBN0Cxwrg="/>
    </ext>
  </extLst>
</workbook>
</file>

<file path=xl/calcChain.xml><?xml version="1.0" encoding="utf-8"?>
<calcChain xmlns="http://schemas.openxmlformats.org/spreadsheetml/2006/main">
  <c r="AR68" i="1" l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D19" i="1" s="1"/>
  <c r="L46" i="1"/>
  <c r="K46" i="1"/>
  <c r="J46" i="1"/>
  <c r="I46" i="1"/>
  <c r="H46" i="1"/>
  <c r="G46" i="1"/>
  <c r="F46" i="1"/>
  <c r="E46" i="1"/>
  <c r="D46" i="1"/>
  <c r="C46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D20" i="1" s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D18" i="1"/>
  <c r="D21" i="1" s="1"/>
  <c r="E5" i="1"/>
  <c r="AP12" i="1" l="1" a="1"/>
  <c r="AP12" i="1" s="1"/>
  <c r="AP13" i="1" a="1"/>
  <c r="AP13" i="1" s="1"/>
  <c r="AR14" i="1" a="1"/>
  <c r="AR14" i="1" s="1"/>
  <c r="AR15" i="1" a="1"/>
  <c r="AR15" i="1" s="1"/>
  <c r="AP11" i="1" a="1"/>
  <c r="AP11" i="1" s="1"/>
  <c r="AO12" i="1" a="1"/>
  <c r="AO12" i="1" s="1"/>
  <c r="AO13" i="1" a="1"/>
  <c r="AO13" i="1" s="1"/>
  <c r="AN15" i="1" a="1"/>
  <c r="AN15" i="1" s="1"/>
  <c r="AN16" i="1" a="1"/>
  <c r="AN16" i="1" s="1"/>
  <c r="AO11" i="1" a="1"/>
  <c r="AO11" i="1" s="1"/>
  <c r="AK12" i="1" a="1"/>
  <c r="AK12" i="1" s="1"/>
  <c r="AJ13" i="1" a="1"/>
  <c r="AJ13" i="1" s="1"/>
  <c r="AL13" i="1" a="1"/>
  <c r="AL13" i="1" s="1"/>
  <c r="AK14" i="1" a="1"/>
  <c r="AK14" i="1" s="1"/>
  <c r="AJ15" i="1" a="1"/>
  <c r="AJ15" i="1" s="1"/>
  <c r="AL15" i="1" a="1"/>
  <c r="AL15" i="1" s="1"/>
  <c r="AK16" i="1" a="1"/>
  <c r="AK16" i="1" s="1"/>
  <c r="AK11" i="1" a="1"/>
  <c r="AK11" i="1" s="1"/>
  <c r="AH12" i="1" a="1"/>
  <c r="AH12" i="1" s="1"/>
  <c r="AG14" i="1" a="1"/>
  <c r="AG14" i="1" s="1"/>
  <c r="AG15" i="1" a="1"/>
  <c r="AG15" i="1" s="1"/>
  <c r="AI16" i="1" a="1"/>
  <c r="AI16" i="1" s="1"/>
  <c r="AD12" i="1" a="1"/>
  <c r="AD12" i="1" s="1"/>
  <c r="AD13" i="1" a="1"/>
  <c r="AD13" i="1" s="1"/>
  <c r="AF14" i="1" a="1"/>
  <c r="AF14" i="1" s="1"/>
  <c r="AF15" i="1" a="1"/>
  <c r="AF15" i="1" s="1"/>
  <c r="AD11" i="1" a="1"/>
  <c r="AD11" i="1" s="1"/>
  <c r="AC12" i="1" a="1"/>
  <c r="AC12" i="1" s="1"/>
  <c r="AC13" i="1" a="1"/>
  <c r="AC13" i="1" s="1"/>
  <c r="AC15" i="1" a="1"/>
  <c r="AC15" i="1" s="1"/>
  <c r="AA11" i="1" a="1"/>
  <c r="AA11" i="1" s="1"/>
  <c r="Z12" i="1" a="1"/>
  <c r="Z12" i="1" s="1"/>
  <c r="Z13" i="1" a="1"/>
  <c r="Z13" i="1" s="1"/>
  <c r="Y15" i="1" a="1"/>
  <c r="Y15" i="1" s="1"/>
  <c r="Y16" i="1" a="1"/>
  <c r="Y16" i="1" s="1"/>
  <c r="Z11" i="1" a="1"/>
  <c r="Z11" i="1" s="1"/>
  <c r="V13" i="1" a="1"/>
  <c r="V13" i="1" s="1"/>
  <c r="V14" i="1" a="1"/>
  <c r="V14" i="1" s="1"/>
  <c r="U16" i="1" a="1"/>
  <c r="U16" i="1" s="1"/>
  <c r="W11" i="1" a="1"/>
  <c r="W11" i="1" s="1"/>
  <c r="S12" i="1" a="1"/>
  <c r="S12" i="1" s="1"/>
  <c r="P13" i="1" a="1"/>
  <c r="P13" i="1" s="1"/>
  <c r="O14" i="1" a="1"/>
  <c r="O14" i="1" s="1"/>
  <c r="R14" i="1" a="1"/>
  <c r="R14" i="1" s="1"/>
  <c r="Q15" i="1" a="1"/>
  <c r="Q15" i="1" s="1"/>
  <c r="T15" i="1" a="1"/>
  <c r="T15" i="1" s="1"/>
  <c r="S16" i="1" a="1"/>
  <c r="S16" i="1" s="1"/>
  <c r="P11" i="1" a="1"/>
  <c r="P11" i="1" s="1"/>
  <c r="L12" i="1" a="1"/>
  <c r="L12" i="1" s="1"/>
  <c r="L13" i="1" a="1"/>
  <c r="L13" i="1" s="1"/>
  <c r="N14" i="1" a="1"/>
  <c r="N14" i="1" s="1"/>
  <c r="N15" i="1" a="1"/>
  <c r="N15" i="1" s="1"/>
  <c r="N16" i="1" a="1"/>
  <c r="N16" i="1" s="1"/>
  <c r="F12" i="1" a="1"/>
  <c r="F12" i="1" s="1"/>
  <c r="I12" i="1" a="1"/>
  <c r="I12" i="1" s="1"/>
  <c r="H13" i="1" a="1"/>
  <c r="H13" i="1" s="1"/>
  <c r="K13" i="1" a="1"/>
  <c r="K13" i="1" s="1"/>
  <c r="J14" i="1" a="1"/>
  <c r="J14" i="1" s="1"/>
  <c r="G15" i="1" a="1"/>
  <c r="G15" i="1" s="1"/>
  <c r="F16" i="1" a="1"/>
  <c r="F16" i="1" s="1"/>
  <c r="I16" i="1" a="1"/>
  <c r="I16" i="1" s="1"/>
  <c r="I11" i="1" a="1"/>
  <c r="I11" i="1" s="1"/>
  <c r="E12" i="1" a="1"/>
  <c r="E12" i="1" s="1"/>
  <c r="D12" i="1" a="1"/>
  <c r="D12" i="1" s="1"/>
  <c r="AQ12" i="1" a="1"/>
  <c r="AQ12" i="1" s="1"/>
  <c r="AQ13" i="1" a="1"/>
  <c r="AQ13" i="1" s="1"/>
  <c r="AQ11" i="1" a="1"/>
  <c r="AQ11" i="1" s="1"/>
  <c r="AM15" i="1" a="1"/>
  <c r="AM15" i="1" s="1"/>
  <c r="AM16" i="1" a="1"/>
  <c r="AM16" i="1" s="1"/>
  <c r="AM11" i="1" a="1"/>
  <c r="AM11" i="1" s="1"/>
  <c r="AL12" i="1" a="1"/>
  <c r="AL12" i="1" s="1"/>
  <c r="AK15" i="1" a="1"/>
  <c r="AK15" i="1" s="1"/>
  <c r="AL11" i="1" a="1"/>
  <c r="AL11" i="1" s="1"/>
  <c r="AI12" i="1" a="1"/>
  <c r="AI12" i="1" s="1"/>
  <c r="AH16" i="1" a="1"/>
  <c r="AH16" i="1" s="1"/>
  <c r="AG11" i="1" a="1"/>
  <c r="AG11" i="1" s="1"/>
  <c r="AE14" i="1" a="1"/>
  <c r="AE14" i="1" s="1"/>
  <c r="AE15" i="1" a="1"/>
  <c r="AE15" i="1" s="1"/>
  <c r="AF16" i="1" a="1"/>
  <c r="AF16" i="1" s="1"/>
  <c r="AB12" i="1" a="1"/>
  <c r="AB12" i="1" s="1"/>
  <c r="AB13" i="1" a="1"/>
  <c r="AB13" i="1" s="1"/>
  <c r="AC14" i="1" a="1"/>
  <c r="AC14" i="1" s="1"/>
  <c r="AA16" i="1" a="1"/>
  <c r="AA16" i="1" s="1"/>
  <c r="AC11" i="1" a="1"/>
  <c r="AC11" i="1" s="1"/>
  <c r="X13" i="1" a="1"/>
  <c r="X13" i="1" s="1"/>
  <c r="X14" i="1" a="1"/>
  <c r="X14" i="1" s="1"/>
  <c r="U12" i="1" a="1"/>
  <c r="U12" i="1" s="1"/>
  <c r="W15" i="1" a="1"/>
  <c r="W15" i="1" s="1"/>
  <c r="V11" i="1" a="1"/>
  <c r="V11" i="1" s="1"/>
  <c r="Q12" i="1" a="1"/>
  <c r="Q12" i="1" s="1"/>
  <c r="R13" i="1" a="1"/>
  <c r="R13" i="1" s="1"/>
  <c r="P14" i="1" a="1"/>
  <c r="P14" i="1" s="1"/>
  <c r="S14" i="1" a="1"/>
  <c r="S14" i="1" s="1"/>
  <c r="R16" i="1" a="1"/>
  <c r="R16" i="1" s="1"/>
  <c r="T11" i="1" a="1"/>
  <c r="T11" i="1" s="1"/>
  <c r="M12" i="1" a="1"/>
  <c r="M12" i="1" s="1"/>
  <c r="M13" i="1" a="1"/>
  <c r="M13" i="1" s="1"/>
  <c r="N11" i="1" a="1"/>
  <c r="N11" i="1" s="1"/>
  <c r="H12" i="1" a="1"/>
  <c r="H12" i="1" s="1"/>
  <c r="F13" i="1" a="1"/>
  <c r="F13" i="1" s="1"/>
  <c r="G14" i="1" a="1"/>
  <c r="G14" i="1" s="1"/>
  <c r="K14" i="1" a="1"/>
  <c r="K14" i="1" s="1"/>
  <c r="H15" i="1" a="1"/>
  <c r="H15" i="1" s="1"/>
  <c r="G11" i="1" a="1"/>
  <c r="G11" i="1" s="1"/>
  <c r="E16" i="1" a="1"/>
  <c r="E16" i="1" s="1"/>
  <c r="D13" i="1" a="1"/>
  <c r="D13" i="1" s="1"/>
  <c r="D16" i="1" a="1"/>
  <c r="D16" i="1" s="1"/>
  <c r="C13" i="1" a="1"/>
  <c r="C13" i="1" s="1"/>
  <c r="C11" i="1" a="1"/>
  <c r="C11" i="1" s="1"/>
  <c r="AR13" i="1" a="1"/>
  <c r="AR13" i="1" s="1"/>
  <c r="AP15" i="1" a="1"/>
  <c r="AP15" i="1" s="1"/>
  <c r="AP16" i="1" a="1"/>
  <c r="AP16" i="1" s="1"/>
  <c r="AR11" i="1" a="1"/>
  <c r="AR11" i="1" s="1"/>
  <c r="AM13" i="1" a="1"/>
  <c r="AM13" i="1" s="1"/>
  <c r="AM14" i="1" a="1"/>
  <c r="AM14" i="1" s="1"/>
  <c r="AJ12" i="1" a="1"/>
  <c r="AJ12" i="1" s="1"/>
  <c r="AL14" i="1" a="1"/>
  <c r="AL14" i="1" s="1"/>
  <c r="AJ11" i="1" a="1"/>
  <c r="AJ11" i="1" s="1"/>
  <c r="AG13" i="1" a="1"/>
  <c r="AG13" i="1" s="1"/>
  <c r="AH14" i="1" a="1"/>
  <c r="AH14" i="1" s="1"/>
  <c r="AH15" i="1" a="1"/>
  <c r="AH15" i="1" s="1"/>
  <c r="AE12" i="1" a="1"/>
  <c r="AE12" i="1" s="1"/>
  <c r="AE13" i="1" a="1"/>
  <c r="AE13" i="1" s="1"/>
  <c r="AE11" i="1" a="1"/>
  <c r="AE11" i="1" s="1"/>
  <c r="AA15" i="1" a="1"/>
  <c r="AA15" i="1" s="1"/>
  <c r="AB16" i="1" a="1"/>
  <c r="AB16" i="1" s="1"/>
  <c r="X12" i="1" a="1"/>
  <c r="X12" i="1" s="1"/>
  <c r="Y14" i="1" a="1"/>
  <c r="Y14" i="1" s="1"/>
  <c r="Z15" i="1" a="1"/>
  <c r="Z15" i="1" s="1"/>
  <c r="Z16" i="1" a="1"/>
  <c r="Z16" i="1" s="1"/>
  <c r="V12" i="1" a="1"/>
  <c r="V12" i="1" s="1"/>
  <c r="W13" i="1" a="1"/>
  <c r="W13" i="1" s="1"/>
  <c r="W14" i="1" a="1"/>
  <c r="W14" i="1" s="1"/>
  <c r="U11" i="1" a="1"/>
  <c r="U11" i="1" s="1"/>
  <c r="R12" i="1" a="1"/>
  <c r="R12" i="1" s="1"/>
  <c r="O13" i="1" a="1"/>
  <c r="O13" i="1" s="1"/>
  <c r="S13" i="1" a="1"/>
  <c r="S13" i="1" s="1"/>
  <c r="T14" i="1" a="1"/>
  <c r="T14" i="1" s="1"/>
  <c r="R15" i="1" a="1"/>
  <c r="R15" i="1" s="1"/>
  <c r="O16" i="1" a="1"/>
  <c r="O16" i="1" s="1"/>
  <c r="Q11" i="1" a="1"/>
  <c r="Q11" i="1" s="1"/>
  <c r="N13" i="1" a="1"/>
  <c r="N13" i="1" s="1"/>
  <c r="L15" i="1" a="1"/>
  <c r="L15" i="1" s="1"/>
  <c r="L16" i="1" a="1"/>
  <c r="L16" i="1" s="1"/>
  <c r="L11" i="1" a="1"/>
  <c r="L11" i="1" s="1"/>
  <c r="G13" i="1" a="1"/>
  <c r="G13" i="1" s="1"/>
  <c r="J13" i="1" a="1"/>
  <c r="J13" i="1" s="1"/>
  <c r="H14" i="1" a="1"/>
  <c r="H14" i="1" s="1"/>
  <c r="I15" i="1" a="1"/>
  <c r="I15" i="1" s="1"/>
  <c r="G16" i="1" a="1"/>
  <c r="G16" i="1" s="1"/>
  <c r="J16" i="1" a="1"/>
  <c r="J16" i="1" s="1"/>
  <c r="H11" i="1" a="1"/>
  <c r="H11" i="1" s="1"/>
  <c r="E13" i="1" a="1"/>
  <c r="E13" i="1" s="1"/>
  <c r="D11" i="1" a="1"/>
  <c r="D11" i="1" s="1"/>
  <c r="C14" i="1" a="1"/>
  <c r="C14" i="1" s="1"/>
  <c r="AR12" i="1" a="1"/>
  <c r="AR12" i="1" s="1"/>
  <c r="AP14" i="1" a="1"/>
  <c r="AP14" i="1" s="1"/>
  <c r="AQ16" i="1" a="1"/>
  <c r="AQ16" i="1" s="1"/>
  <c r="AM12" i="1" a="1"/>
  <c r="AM12" i="1" s="1"/>
  <c r="AN14" i="1" a="1"/>
  <c r="AN14" i="1" s="1"/>
  <c r="AO15" i="1" a="1"/>
  <c r="AO15" i="1" s="1"/>
  <c r="AO16" i="1" a="1"/>
  <c r="AO16" i="1" s="1"/>
  <c r="AJ14" i="1" a="1"/>
  <c r="AJ14" i="1" s="1"/>
  <c r="AL16" i="1" a="1"/>
  <c r="AL16" i="1" s="1"/>
  <c r="AG12" i="1" a="1"/>
  <c r="AG12" i="1" s="1"/>
  <c r="AH13" i="1" a="1"/>
  <c r="AH13" i="1" s="1"/>
  <c r="AI15" i="1" a="1"/>
  <c r="AI15" i="1" s="1"/>
  <c r="AH11" i="1" a="1"/>
  <c r="AH11" i="1" s="1"/>
  <c r="AF13" i="1" a="1"/>
  <c r="AF13" i="1" s="1"/>
  <c r="AD15" i="1" a="1"/>
  <c r="AD15" i="1" s="1"/>
  <c r="AD16" i="1" a="1"/>
  <c r="AD16" i="1" s="1"/>
  <c r="AF11" i="1" a="1"/>
  <c r="AF11" i="1" s="1"/>
  <c r="AA13" i="1" a="1"/>
  <c r="AA13" i="1" s="1"/>
  <c r="AA14" i="1" a="1"/>
  <c r="AA14" i="1" s="1"/>
  <c r="AB15" i="1" a="1"/>
  <c r="AB15" i="1" s="1"/>
  <c r="AC16" i="1" a="1"/>
  <c r="AC16" i="1" s="1"/>
  <c r="Y12" i="1" a="1"/>
  <c r="Y12" i="1" s="1"/>
  <c r="Y13" i="1" a="1"/>
  <c r="Y13" i="1" s="1"/>
  <c r="Z14" i="1" a="1"/>
  <c r="Z14" i="1" s="1"/>
  <c r="Y11" i="1" a="1"/>
  <c r="Y11" i="1" s="1"/>
  <c r="W12" i="1" a="1"/>
  <c r="W12" i="1" s="1"/>
  <c r="U15" i="1" a="1"/>
  <c r="U15" i="1" s="1"/>
  <c r="AN12" i="1" a="1"/>
  <c r="AN12" i="1" s="1"/>
  <c r="AN11" i="1" a="1"/>
  <c r="AN11" i="1" s="1"/>
  <c r="AI13" i="1" a="1"/>
  <c r="AI13" i="1" s="1"/>
  <c r="AF12" i="1" a="1"/>
  <c r="AF12" i="1" s="1"/>
  <c r="AA12" i="1" a="1"/>
  <c r="AA12" i="1" s="1"/>
  <c r="AB11" i="1" a="1"/>
  <c r="AB11" i="1" s="1"/>
  <c r="X16" i="1" a="1"/>
  <c r="X16" i="1" s="1"/>
  <c r="V15" i="1" a="1"/>
  <c r="V15" i="1" s="1"/>
  <c r="P12" i="1" a="1"/>
  <c r="P12" i="1" s="1"/>
  <c r="Q13" i="1" a="1"/>
  <c r="Q13" i="1" s="1"/>
  <c r="S15" i="1" a="1"/>
  <c r="S15" i="1" s="1"/>
  <c r="S11" i="1" a="1"/>
  <c r="S11" i="1" s="1"/>
  <c r="M15" i="1" a="1"/>
  <c r="M15" i="1" s="1"/>
  <c r="I13" i="1" a="1"/>
  <c r="I13" i="1" s="1"/>
  <c r="K15" i="1" a="1"/>
  <c r="K15" i="1" s="1"/>
  <c r="K11" i="1" a="1"/>
  <c r="K11" i="1" s="1"/>
  <c r="E15" i="1" a="1"/>
  <c r="E15" i="1" s="1"/>
  <c r="C12" i="1" a="1"/>
  <c r="C12" i="1" s="1"/>
  <c r="AQ14" i="1" a="1"/>
  <c r="AQ14" i="1" s="1"/>
  <c r="AN13" i="1" a="1"/>
  <c r="AN13" i="1" s="1"/>
  <c r="AJ16" i="1" a="1"/>
  <c r="AJ16" i="1" s="1"/>
  <c r="AI14" i="1" a="1"/>
  <c r="AI14" i="1" s="1"/>
  <c r="AD14" i="1" a="1"/>
  <c r="AD14" i="1" s="1"/>
  <c r="X11" i="1" a="1"/>
  <c r="X11" i="1" s="1"/>
  <c r="V16" i="1" a="1"/>
  <c r="V16" i="1" s="1"/>
  <c r="T13" i="1" a="1"/>
  <c r="T13" i="1" s="1"/>
  <c r="O15" i="1" a="1"/>
  <c r="O15" i="1" s="1"/>
  <c r="P16" i="1" a="1"/>
  <c r="P16" i="1" s="1"/>
  <c r="R11" i="1" a="1"/>
  <c r="R11" i="1" s="1"/>
  <c r="L14" i="1" a="1"/>
  <c r="L14" i="1" s="1"/>
  <c r="M16" i="1" a="1"/>
  <c r="M16" i="1" s="1"/>
  <c r="J12" i="1" a="1"/>
  <c r="J12" i="1" s="1"/>
  <c r="F15" i="1" a="1"/>
  <c r="F15" i="1" s="1"/>
  <c r="J11" i="1" a="1"/>
  <c r="J11" i="1" s="1"/>
  <c r="D14" i="1" a="1"/>
  <c r="D14" i="1" s="1"/>
  <c r="C15" i="1" a="1"/>
  <c r="C15" i="1" s="1"/>
  <c r="AQ15" i="1" a="1"/>
  <c r="AQ15" i="1" s="1"/>
  <c r="AO14" i="1" a="1"/>
  <c r="AO14" i="1" s="1"/>
  <c r="AK13" i="1" a="1"/>
  <c r="AK13" i="1" s="1"/>
  <c r="AG16" i="1" a="1"/>
  <c r="AG16" i="1" s="1"/>
  <c r="AB14" i="1" a="1"/>
  <c r="AB14" i="1" s="1"/>
  <c r="U13" i="1" a="1"/>
  <c r="U13" i="1" s="1"/>
  <c r="W16" i="1" a="1"/>
  <c r="W16" i="1" s="1"/>
  <c r="T12" i="1" a="1"/>
  <c r="T12" i="1" s="1"/>
  <c r="P15" i="1" a="1"/>
  <c r="P15" i="1" s="1"/>
  <c r="Q16" i="1" a="1"/>
  <c r="Q16" i="1" s="1"/>
  <c r="O11" i="1" a="1"/>
  <c r="O11" i="1" s="1"/>
  <c r="M14" i="1" a="1"/>
  <c r="M14" i="1" s="1"/>
  <c r="M11" i="1" a="1"/>
  <c r="M11" i="1" s="1"/>
  <c r="K12" i="1" a="1"/>
  <c r="K12" i="1" s="1"/>
  <c r="F14" i="1" a="1"/>
  <c r="F14" i="1" s="1"/>
  <c r="H16" i="1" a="1"/>
  <c r="H16" i="1" s="1"/>
  <c r="F11" i="1" a="1"/>
  <c r="F11" i="1" s="1"/>
  <c r="D15" i="1" a="1"/>
  <c r="D15" i="1" s="1"/>
  <c r="C16" i="1" a="1"/>
  <c r="C16" i="1" s="1"/>
  <c r="AR16" i="1" a="1"/>
  <c r="AR16" i="1" s="1"/>
  <c r="AI11" i="1" a="1"/>
  <c r="AI11" i="1" s="1"/>
  <c r="AE16" i="1" a="1"/>
  <c r="AE16" i="1" s="1"/>
  <c r="X15" i="1" a="1"/>
  <c r="X15" i="1" s="1"/>
  <c r="U14" i="1" a="1"/>
  <c r="U14" i="1" s="1"/>
  <c r="O12" i="1" a="1"/>
  <c r="O12" i="1" s="1"/>
  <c r="Q14" i="1" a="1"/>
  <c r="Q14" i="1" s="1"/>
  <c r="T16" i="1" a="1"/>
  <c r="T16" i="1" s="1"/>
  <c r="N12" i="1" a="1"/>
  <c r="N12" i="1" s="1"/>
  <c r="G12" i="1" a="1"/>
  <c r="G12" i="1" s="1"/>
  <c r="I14" i="1" a="1"/>
  <c r="I14" i="1" s="1"/>
  <c r="J15" i="1" a="1"/>
  <c r="J15" i="1" s="1"/>
  <c r="K16" i="1" a="1"/>
  <c r="K16" i="1" s="1"/>
  <c r="E14" i="1" a="1"/>
  <c r="E14" i="1" s="1"/>
  <c r="E11" i="1" a="1"/>
  <c r="E11" i="1" s="1"/>
  <c r="I23" i="2" l="1"/>
  <c r="I25" i="2"/>
  <c r="A23" i="2"/>
  <c r="A27" i="2" s="1"/>
  <c r="I7" i="2"/>
  <c r="I9" i="2"/>
  <c r="A25" i="2"/>
  <c r="A9" i="2"/>
  <c r="A7" i="2"/>
  <c r="A11" i="2" s="1"/>
  <c r="I27" i="2" l="1"/>
  <c r="I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<sst xmlns="http://schemas.openxmlformats.org/spreadsheetml/2006/main" count="487" uniqueCount="66">
  <si>
    <t>Options:</t>
  </si>
  <si>
    <t>Q1 2024</t>
  </si>
  <si>
    <t>Q2 2024</t>
  </si>
  <si>
    <t>Q3 2024</t>
  </si>
  <si>
    <t>Q4 2024</t>
  </si>
  <si>
    <t>ACTIVE TABLE FOR SELECTED</t>
  </si>
  <si>
    <t>Q1</t>
  </si>
  <si>
    <t>October</t>
  </si>
  <si>
    <t>November</t>
  </si>
  <si>
    <t>December</t>
  </si>
  <si>
    <r>
      <rPr>
        <b/>
        <sz val="14"/>
        <color theme="1"/>
        <rFont val="Arial Black"/>
      </rPr>
      <t>Oc</t>
    </r>
    <r>
      <rPr>
        <sz val="14"/>
        <color theme="1"/>
        <rFont val="Arial Black"/>
      </rPr>
      <t>tob</t>
    </r>
    <r>
      <rPr>
        <b/>
        <sz val="14"/>
        <color theme="1"/>
        <rFont val="Arial Black"/>
      </rPr>
      <t>er</t>
    </r>
  </si>
  <si>
    <t>Revenue</t>
  </si>
  <si>
    <t>Target Revenue</t>
  </si>
  <si>
    <t>Previous Year
Revenue</t>
  </si>
  <si>
    <t>Number of
Customers</t>
  </si>
  <si>
    <t>Number of
New Customers
Target</t>
  </si>
  <si>
    <t>Number of
New Customers</t>
  </si>
  <si>
    <t>Number of
New Customers
Previous Year</t>
  </si>
  <si>
    <t>Customer Acquisition Costs</t>
  </si>
  <si>
    <t>Customer AC (per customer)</t>
  </si>
  <si>
    <t>Customer AC (per customer) Target</t>
  </si>
  <si>
    <t>Customer Aquis. Costs (per customer) PY</t>
  </si>
  <si>
    <t>Revenue per
Customer</t>
  </si>
  <si>
    <t>Revenue per
Customer PY</t>
  </si>
  <si>
    <t>Target Revenue
per Customer</t>
  </si>
  <si>
    <t>Jacob</t>
  </si>
  <si>
    <t>Arnold</t>
  </si>
  <si>
    <t>Naomi</t>
  </si>
  <si>
    <t>David</t>
  </si>
  <si>
    <t>Ariel</t>
  </si>
  <si>
    <t>TOTAL</t>
  </si>
  <si>
    <t>TOTAL REVENUE PER YEAR</t>
  </si>
  <si>
    <t>TOTAL CUSTOMERS PER YEAR</t>
  </si>
  <si>
    <t>NEW CUSTOMERS PER YEAR</t>
  </si>
  <si>
    <t>REVENUE PER CUSTOMER</t>
  </si>
  <si>
    <t>Q1 2023</t>
  </si>
  <si>
    <t>January</t>
  </si>
  <si>
    <t>February</t>
  </si>
  <si>
    <t>March</t>
  </si>
  <si>
    <t>Q2 2023</t>
  </si>
  <si>
    <t>April</t>
  </si>
  <si>
    <t>May</t>
  </si>
  <si>
    <t>June</t>
  </si>
  <si>
    <t>Q3 2023</t>
  </si>
  <si>
    <t>July</t>
  </si>
  <si>
    <t>August</t>
  </si>
  <si>
    <t>September</t>
  </si>
  <si>
    <t>Q4 2023</t>
  </si>
  <si>
    <t>KPI Overview</t>
  </si>
  <si>
    <t>Revenue Compared per year</t>
  </si>
  <si>
    <t>New Customers per year</t>
  </si>
  <si>
    <t>Revenue Actual VS Target</t>
  </si>
  <si>
    <t>New customers Actual VS Target</t>
  </si>
  <si>
    <t>Actual
Revenue</t>
  </si>
  <si>
    <t>Actual
New Customers</t>
  </si>
  <si>
    <t>Target
Revenue</t>
  </si>
  <si>
    <t>Target New Customers</t>
  </si>
  <si>
    <t>Target
Achievement</t>
  </si>
  <si>
    <t>Average Revenue Per Year</t>
  </si>
  <si>
    <t>Customer Acquisition costs per year</t>
  </si>
  <si>
    <t xml:space="preserve">Avg. Revenue per Customer </t>
  </si>
  <si>
    <t>Customer Acquisition Cost</t>
  </si>
  <si>
    <t>Actual
Revenue Per Customer</t>
  </si>
  <si>
    <t>Actual
CAC</t>
  </si>
  <si>
    <t>Target Revnue Per Customer</t>
  </si>
  <si>
    <t>Target
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</si>
</sst>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;[Red]&quot;$&quot;#,##0"/>
  </numFmts>
  <fonts count="2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Bahnschrift"/>
    </font>
    <font>
      <b/>
      <sz val="14"/>
      <color theme="1"/>
      <name val="Bahnschrift"/>
    </font>
    <font>
      <sz val="18"/>
      <color theme="1"/>
      <name val="Bahnschrift"/>
    </font>
    <font>
      <sz val="18"/>
      <color rgb="FF7ED2DB"/>
      <name val="Bahnschrift"/>
    </font>
    <font>
      <b/>
      <sz val="18"/>
      <color theme="1"/>
      <name val="Bahnschrift"/>
    </font>
    <font>
      <sz val="11"/>
      <name val="Calibri"/>
    </font>
    <font>
      <sz val="14"/>
      <color rgb="FF0070C0"/>
      <name val="Arial Black"/>
    </font>
    <font>
      <b/>
      <sz val="14"/>
      <color theme="1"/>
      <name val="Arial Black"/>
    </font>
    <font>
      <b/>
      <sz val="14"/>
      <color rgb="FF0070C0"/>
      <name val="Arial Black"/>
    </font>
    <font>
      <sz val="14"/>
      <color theme="1"/>
      <name val="Calibri"/>
    </font>
    <font>
      <sz val="14"/>
      <color theme="1"/>
      <name val="Bahnschrift"/>
    </font>
    <font>
      <sz val="16"/>
      <color theme="1"/>
      <name val="Calibri"/>
    </font>
    <font>
      <sz val="16"/>
      <color theme="1"/>
      <name val="Bahnschrift"/>
    </font>
    <font>
      <b/>
      <sz val="11"/>
      <color theme="1"/>
      <name val="Bahnschrift"/>
    </font>
    <font>
      <sz val="22"/>
      <color theme="1"/>
      <name val="Bahnschrift"/>
    </font>
    <font>
      <sz val="22"/>
      <color rgb="FF000000"/>
      <name val="Arial"/>
    </font>
    <font>
      <b/>
      <sz val="14"/>
      <color theme="1"/>
      <name val="Calibri"/>
    </font>
    <font>
      <b/>
      <sz val="11"/>
      <color rgb="FF595959"/>
      <name val="Bahnschrift"/>
    </font>
    <font>
      <sz val="16"/>
      <color rgb="FF595959"/>
      <name val="Bahnschrift"/>
    </font>
    <font>
      <b/>
      <sz val="10"/>
      <color rgb="FF595959"/>
      <name val="Bahnschrift"/>
    </font>
    <font>
      <sz val="10"/>
      <color theme="1"/>
      <name val="Calibri"/>
    </font>
    <font>
      <sz val="14"/>
      <color theme="1"/>
      <name val="Arial Black"/>
    </font>
  </fonts>
  <fills count="12">
    <fill>
      <patternFill patternType="none"/>
    </fill>
    <fill>
      <patternFill patternType="gray125"/>
    </fill>
    <fill>
      <patternFill patternType="solid">
        <fgColor rgb="FF7ED2DB"/>
        <bgColor rgb="FF7ED2DB"/>
      </patternFill>
    </fill>
    <fill>
      <patternFill patternType="solid">
        <fgColor rgb="FFF2F2F2"/>
        <bgColor rgb="FFF2F2F2"/>
      </patternFill>
    </fill>
    <fill>
      <patternFill patternType="solid">
        <fgColor rgb="FFDF726E"/>
        <bgColor rgb="FFDF726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ECECEC"/>
        <bgColor rgb="FFECECEC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</fills>
  <borders count="4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8" fontId="3" fillId="2" borderId="5" xfId="0" applyNumberFormat="1" applyFont="1" applyFill="1" applyBorder="1" applyAlignment="1">
      <alignment horizontal="center" vertical="center" wrapText="1"/>
    </xf>
    <xf numFmtId="8" fontId="3" fillId="2" borderId="6" xfId="0" applyNumberFormat="1" applyFont="1" applyFill="1" applyBorder="1" applyAlignment="1">
      <alignment horizontal="center" vertical="center" wrapText="1"/>
    </xf>
    <xf numFmtId="8" fontId="3" fillId="2" borderId="7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8" fontId="9" fillId="2" borderId="7" xfId="0" applyNumberFormat="1" applyFont="1" applyFill="1" applyBorder="1" applyAlignment="1">
      <alignment horizontal="center" vertical="center" wrapText="1"/>
    </xf>
    <xf numFmtId="8" fontId="9" fillId="2" borderId="11" xfId="0" applyNumberFormat="1" applyFont="1" applyFill="1" applyBorder="1" applyAlignment="1">
      <alignment horizontal="center" vertical="center" wrapText="1"/>
    </xf>
    <xf numFmtId="8" fontId="9" fillId="2" borderId="12" xfId="0" applyNumberFormat="1" applyFont="1" applyFill="1" applyBorder="1" applyAlignment="1">
      <alignment horizontal="center" vertical="center" wrapText="1"/>
    </xf>
    <xf numFmtId="8" fontId="9" fillId="2" borderId="13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8" fontId="9" fillId="2" borderId="14" xfId="0" applyNumberFormat="1" applyFont="1" applyFill="1" applyBorder="1" applyAlignment="1">
      <alignment horizontal="center" vertical="center" wrapText="1"/>
    </xf>
    <xf numFmtId="8" fontId="9" fillId="2" borderId="6" xfId="0" applyNumberFormat="1" applyFont="1" applyFill="1" applyBorder="1" applyAlignment="1">
      <alignment horizontal="center" vertical="center" wrapText="1"/>
    </xf>
    <xf numFmtId="8" fontId="9" fillId="2" borderId="15" xfId="0" applyNumberFormat="1" applyFont="1" applyFill="1" applyBorder="1" applyAlignment="1">
      <alignment horizontal="center" vertical="center" wrapText="1"/>
    </xf>
    <xf numFmtId="8" fontId="9" fillId="2" borderId="16" xfId="0" applyNumberFormat="1" applyFont="1" applyFill="1" applyBorder="1" applyAlignment="1">
      <alignment horizontal="center" vertical="center" wrapText="1"/>
    </xf>
    <xf numFmtId="8" fontId="9" fillId="2" borderId="17" xfId="0" applyNumberFormat="1" applyFont="1" applyFill="1" applyBorder="1" applyAlignment="1">
      <alignment horizontal="center" vertical="center" wrapText="1"/>
    </xf>
    <xf numFmtId="8" fontId="9" fillId="2" borderId="18" xfId="0" applyNumberFormat="1" applyFont="1" applyFill="1" applyBorder="1" applyAlignment="1">
      <alignment horizontal="center" vertical="center" wrapText="1"/>
    </xf>
    <xf numFmtId="8" fontId="9" fillId="2" borderId="19" xfId="0" applyNumberFormat="1" applyFont="1" applyFill="1" applyBorder="1" applyAlignment="1">
      <alignment horizontal="center" vertical="center" wrapText="1"/>
    </xf>
    <xf numFmtId="8" fontId="9" fillId="2" borderId="20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6" fontId="12" fillId="3" borderId="14" xfId="0" applyNumberFormat="1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vertical="center" wrapText="1"/>
    </xf>
    <xf numFmtId="6" fontId="3" fillId="2" borderId="22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8" fontId="14" fillId="0" borderId="1" xfId="0" applyNumberFormat="1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4" borderId="25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4" borderId="2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8" fontId="12" fillId="3" borderId="1" xfId="0" applyNumberFormat="1" applyFont="1" applyFill="1" applyBorder="1" applyAlignment="1">
      <alignment horizontal="center" vertical="center" wrapText="1"/>
    </xf>
    <xf numFmtId="8" fontId="3" fillId="3" borderId="1" xfId="0" applyNumberFormat="1" applyFont="1" applyFill="1" applyBorder="1" applyAlignment="1">
      <alignment horizontal="center" vertical="center" wrapText="1"/>
    </xf>
    <xf numFmtId="0" fontId="1" fillId="5" borderId="6" xfId="0" applyFont="1" applyFill="1" applyBorder="1"/>
    <xf numFmtId="0" fontId="17" fillId="0" borderId="0" xfId="0" applyFont="1"/>
    <xf numFmtId="0" fontId="1" fillId="9" borderId="6" xfId="0" applyFont="1" applyFill="1" applyBorder="1" applyAlignment="1">
      <alignment vertical="center" wrapText="1"/>
    </xf>
    <xf numFmtId="0" fontId="1" fillId="9" borderId="6" xfId="0" applyFont="1" applyFill="1" applyBorder="1"/>
    <xf numFmtId="0" fontId="19" fillId="9" borderId="6" xfId="0" applyFont="1" applyFill="1" applyBorder="1" applyAlignment="1">
      <alignment vertical="center"/>
    </xf>
    <xf numFmtId="6" fontId="20" fillId="9" borderId="6" xfId="0" applyNumberFormat="1" applyFont="1" applyFill="1" applyBorder="1" applyAlignment="1">
      <alignment horizontal="right" vertical="center" wrapText="1"/>
    </xf>
    <xf numFmtId="0" fontId="21" fillId="9" borderId="6" xfId="0" applyFont="1" applyFill="1" applyBorder="1" applyAlignment="1">
      <alignment vertical="center" wrapText="1"/>
    </xf>
    <xf numFmtId="164" fontId="20" fillId="9" borderId="6" xfId="0" applyNumberFormat="1" applyFont="1" applyFill="1" applyBorder="1" applyAlignment="1">
      <alignment horizontal="right" vertical="center" wrapText="1"/>
    </xf>
    <xf numFmtId="9" fontId="20" fillId="9" borderId="6" xfId="0" applyNumberFormat="1" applyFont="1" applyFill="1" applyBorder="1" applyAlignment="1">
      <alignment horizontal="right" vertical="center" wrapText="1"/>
    </xf>
    <xf numFmtId="0" fontId="22" fillId="9" borderId="6" xfId="0" applyFont="1" applyFill="1" applyBorder="1"/>
    <xf numFmtId="6" fontId="19" fillId="9" borderId="6" xfId="0" applyNumberFormat="1" applyFont="1" applyFill="1" applyBorder="1" applyAlignment="1">
      <alignment horizontal="right" vertical="center" wrapText="1"/>
    </xf>
    <xf numFmtId="0" fontId="19" fillId="9" borderId="6" xfId="0" applyFont="1" applyFill="1" applyBorder="1" applyAlignment="1">
      <alignment vertical="center" wrapText="1"/>
    </xf>
    <xf numFmtId="8" fontId="6" fillId="2" borderId="8" xfId="0" applyNumberFormat="1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6" fillId="4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16" fillId="6" borderId="29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7" fillId="0" borderId="31" xfId="0" applyFont="1" applyBorder="1"/>
    <xf numFmtId="0" fontId="18" fillId="7" borderId="32" xfId="0" applyFont="1" applyFill="1" applyBorder="1" applyAlignment="1">
      <alignment horizontal="center" vertical="center"/>
    </xf>
    <xf numFmtId="0" fontId="7" fillId="0" borderId="33" xfId="0" applyFont="1" applyBorder="1"/>
    <xf numFmtId="0" fontId="7" fillId="0" borderId="34" xfId="0" applyFont="1" applyBorder="1"/>
    <xf numFmtId="0" fontId="18" fillId="8" borderId="32" xfId="0" applyFont="1" applyFill="1" applyBorder="1" applyAlignment="1">
      <alignment horizontal="center" vertical="center"/>
    </xf>
    <xf numFmtId="0" fontId="18" fillId="10" borderId="35" xfId="0" applyFont="1" applyFill="1" applyBorder="1" applyAlignment="1">
      <alignment horizontal="center" vertical="center"/>
    </xf>
    <xf numFmtId="0" fontId="7" fillId="0" borderId="36" xfId="0" applyFont="1" applyBorder="1"/>
    <xf numFmtId="0" fontId="7" fillId="0" borderId="37" xfId="0" applyFont="1" applyBorder="1"/>
    <xf numFmtId="0" fontId="7" fillId="0" borderId="38" xfId="0" applyFont="1" applyBorder="1"/>
    <xf numFmtId="0" fontId="7" fillId="0" borderId="39" xfId="0" applyFont="1" applyBorder="1"/>
    <xf numFmtId="0" fontId="7" fillId="0" borderId="40" xfId="0" applyFont="1" applyBorder="1"/>
    <xf numFmtId="0" fontId="18" fillId="11" borderId="3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Revenue compared  to previous year</a:t>
            </a:r>
          </a:p>
        </c:rich>
      </c:tx>
      <c:layout>
        <c:manualLayout>
          <c:xMode val="edge"/>
          <c:yMode val="edge"/>
          <c:x val="0.21995305164319248"/>
          <c:y val="5.5E-2"/>
        </c:manualLayout>
      </c:layout>
      <c:overlay val="0"/>
    </c:title>
    <c:autoTitleDeleted val="0"/>
    <c:plotArea>
      <c:layout>
        <c:manualLayout>
          <c:xMode val="edge"/>
          <c:yMode val="edge"/>
          <c:x val="0.18605280683198183"/>
          <c:y val="0.12076965731396251"/>
          <c:w val="0.77208552055992996"/>
          <c:h val="0.69766073044049104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DATA!$F$9:$H$9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DATA!$C$16:$E$16</c:f>
              <c:numCache>
                <c:formatCode>"$"#,##0_);[Red]\("$"#,##0\)</c:formatCode>
                <c:ptCount val="3"/>
                <c:pt idx="0">
                  <c:v>700000</c:v>
                </c:pt>
                <c:pt idx="1">
                  <c:v>715000</c:v>
                </c:pt>
                <c:pt idx="2">
                  <c:v>770000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7ED-4930-AB63-CFE70F036EF7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DATA!$F$9:$H$9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DATA!$F$16:$H$16</c:f>
              <c:numCache>
                <c:formatCode>"$"#,##0_);[Red]\("$"#,##0\)</c:formatCode>
                <c:ptCount val="3"/>
                <c:pt idx="0">
                  <c:v>825000</c:v>
                </c:pt>
                <c:pt idx="1">
                  <c:v>775000</c:v>
                </c:pt>
                <c:pt idx="2">
                  <c:v>725000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7ED-4930-AB63-CFE70F036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5806664"/>
        <c:axId val="2056169509"/>
      </c:barChart>
      <c:catAx>
        <c:axId val="1805806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6169509"/>
        <c:crosses val="autoZero"/>
        <c:auto val="1"/>
        <c:lblAlgn val="ctr"/>
        <c:lblOffset val="100"/>
        <c:noMultiLvlLbl val="1"/>
      </c:catAx>
      <c:valAx>
        <c:axId val="2056169509"/>
        <c:scaling>
          <c:orientation val="minMax"/>
          <c:max val="1000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@" sourceLinked="0"/>
        <c:majorTickMark val="none"/>
        <c:minorTickMark val="none"/>
        <c:tickLblPos val="nextTo"/>
        <c:spPr>
          <a:ln/>
        </c:spPr>
        <c:txPr>
          <a:bodyPr rot="-60000"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0580666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lang="en-IN" sz="1600" b="1" i="0">
                <a:solidFill>
                  <a:srgbClr val="757575"/>
                </a:solidFill>
                <a:latin typeface="+mn-lt"/>
              </a:rPr>
              <a:t>New Cumstomers compared to previous
</a:t>
            </a:r>
          </a:p>
        </c:rich>
      </c:tx>
      <c:layout>
        <c:manualLayout>
          <c:xMode val="edge"/>
          <c:yMode val="edge"/>
          <c:x val="0.21365314629788923"/>
          <c:y val="9.0808742365148295E-3"/>
        </c:manualLayout>
      </c:layout>
      <c:overlay val="0"/>
    </c:title>
    <c:autoTitleDeleted val="0"/>
    <c:plotArea>
      <c:layout>
        <c:manualLayout>
          <c:xMode val="edge"/>
          <c:yMode val="edge"/>
          <c:x val="0.11531714785651793"/>
          <c:y val="7.407407407407407E-2"/>
          <c:w val="0.84023840769903757"/>
          <c:h val="0.74742917065273384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DATA!$U$9:$W$9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DATA!$R$16:$T$16</c:f>
              <c:numCache>
                <c:formatCode>"$"#,##0_);[Red]\("$"#,##0\)</c:formatCode>
                <c:ptCount val="3"/>
                <c:pt idx="0">
                  <c:v>108</c:v>
                </c:pt>
                <c:pt idx="1">
                  <c:v>87</c:v>
                </c:pt>
                <c:pt idx="2">
                  <c:v>114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F60-4650-A3A9-17300E8FC1A3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DATA!$U$9:$W$9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DATA!$U$16:$W$16</c:f>
              <c:numCache>
                <c:formatCode>"$"#,##0_);[Red]\("$"#,##0\)</c:formatCode>
                <c:ptCount val="3"/>
                <c:pt idx="0">
                  <c:v>97</c:v>
                </c:pt>
                <c:pt idx="1">
                  <c:v>96</c:v>
                </c:pt>
                <c:pt idx="2">
                  <c:v>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F60-4650-A3A9-17300E8FC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6316270"/>
        <c:axId val="1095252179"/>
      </c:barChart>
      <c:catAx>
        <c:axId val="2046316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5252179"/>
        <c:crosses val="autoZero"/>
        <c:auto val="1"/>
        <c:lblAlgn val="ctr"/>
        <c:lblOffset val="100"/>
        <c:noMultiLvlLbl val="1"/>
      </c:catAx>
      <c:valAx>
        <c:axId val="1095252179"/>
        <c:scaling>
          <c:orientation val="minMax"/>
          <c:max val="12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#,##0_);[Red]\(#,##0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631627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0" i="0">
                <a:solidFill>
                  <a:srgbClr val="757575"/>
                </a:solidFill>
                <a:latin typeface="+mn-lt"/>
              </a:defRPr>
            </a:pPr>
            <a:r>
              <a:rPr lang="en-IN" sz="1200" b="0" i="0">
                <a:solidFill>
                  <a:srgbClr val="757575"/>
                </a:solidFill>
                <a:latin typeface="+mn-lt"/>
              </a:rPr>
              <a:t>Average Revenue Per Cust. compared to
 previous  year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5699177024158537"/>
          <c:y val="0.18191634136153334"/>
          <c:w val="0.79538561073604341"/>
          <c:h val="0.59937988971495193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DATA!$AJ$16:$AL$16</c:f>
              <c:numCache>
                <c:formatCode>"$"#,##0_);[Red]\("$"#,##0\)</c:formatCode>
                <c:ptCount val="3"/>
                <c:pt idx="0">
                  <c:v>2019.4880000000001</c:v>
                </c:pt>
                <c:pt idx="1">
                  <c:v>1968.5919999999999</c:v>
                </c:pt>
                <c:pt idx="2">
                  <c:v>1972.2139999999999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09B-43EC-B37B-E5449F9633FC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DATA!$AM$16:$AO$16</c:f>
              <c:numCache>
                <c:formatCode>"$"#,##0_);[Red]\("$"#,##0\)</c:formatCode>
                <c:ptCount val="3"/>
                <c:pt idx="0">
                  <c:v>2200</c:v>
                </c:pt>
                <c:pt idx="1">
                  <c:v>2520</c:v>
                </c:pt>
                <c:pt idx="2">
                  <c:v>2540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09B-43EC-B37B-E5449F963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5114484"/>
        <c:axId val="1412484875"/>
      </c:barChart>
      <c:catAx>
        <c:axId val="1175114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2484875"/>
        <c:crosses val="autoZero"/>
        <c:auto val="1"/>
        <c:lblAlgn val="ctr"/>
        <c:lblOffset val="100"/>
        <c:noMultiLvlLbl val="1"/>
      </c:catAx>
      <c:valAx>
        <c:axId val="1412484875"/>
        <c:scaling>
          <c:orientation val="minMax"/>
          <c:max val="400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5114484"/>
        <c:crosses val="autoZero"/>
        <c:crossBetween val="between"/>
        <c:majorUnit val="1000"/>
      </c:valAx>
    </c:plotArea>
    <c:legend>
      <c:legendPos val="r"/>
      <c:layout>
        <c:manualLayout>
          <c:xMode val="edge"/>
          <c:yMode val="edge"/>
          <c:x val="0.18356329474072891"/>
          <c:y val="0.84815486993345435"/>
          <c:w val="0.72492564043202701"/>
          <c:h val="0.1555519431038862"/>
        </c:manualLayout>
      </c:layout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Customer Acquisition costs comp. to prev.year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2738135839135978"/>
          <c:y val="0.12639535828228213"/>
          <c:w val="0.84025644738637539"/>
          <c:h val="0.68809015163273624"/>
        </c:manualLayout>
      </c:layout>
      <c:barChart>
        <c:barDir val="col"/>
        <c:grouping val="clustered"/>
        <c:varyColors val="1"/>
        <c:ser>
          <c:idx val="0"/>
          <c:order val="0"/>
          <c:tx>
            <c:v>Current Year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DATA!$AA$9:$AC$9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DATA!$AA$16:$AC$16</c:f>
              <c:numCache>
                <c:formatCode>"$"#,##0_);[Red]\("$"#,##0\)</c:formatCode>
                <c:ptCount val="3"/>
                <c:pt idx="0">
                  <c:v>316.56799999999998</c:v>
                </c:pt>
                <c:pt idx="1">
                  <c:v>446.64399999999995</c:v>
                </c:pt>
                <c:pt idx="2">
                  <c:v>353.12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602-41E8-BED1-69DF411776D4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DATA!$AA$9:$AC$9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DATA!$AG$16:$AI$16</c:f>
              <c:numCache>
                <c:formatCode>"$"#,##0_);[Red]\("$"#,##0\)</c:formatCode>
                <c:ptCount val="3"/>
                <c:pt idx="0">
                  <c:v>374.6</c:v>
                </c:pt>
                <c:pt idx="1">
                  <c:v>378</c:v>
                </c:pt>
                <c:pt idx="2">
                  <c:v>385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602-41E8-BED1-69DF41177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1919169"/>
        <c:axId val="1230771962"/>
      </c:barChart>
      <c:catAx>
        <c:axId val="1341919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0771962"/>
        <c:crosses val="autoZero"/>
        <c:auto val="1"/>
        <c:lblAlgn val="ctr"/>
        <c:lblOffset val="100"/>
        <c:noMultiLvlLbl val="1"/>
      </c:catAx>
      <c:valAx>
        <c:axId val="1230771962"/>
        <c:scaling>
          <c:orientation val="minMax"/>
          <c:max val="60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1919169"/>
        <c:crosses val="autoZero"/>
        <c:crossBetween val="between"/>
        <c:majorUnit val="100"/>
        <c:minorUnit val="2"/>
      </c:valAx>
    </c:plotArea>
    <c:legend>
      <c:legendPos val="r"/>
      <c:layout>
        <c:manualLayout>
          <c:xMode val="edge"/>
          <c:yMode val="edge"/>
          <c:x val="0.26578902269569249"/>
          <c:y val="0.91467542590873918"/>
        </c:manualLayout>
      </c:layout>
      <c:overlay val="0"/>
      <c:txPr>
        <a:bodyPr/>
        <a:lstStyle/>
        <a:p>
          <a:pPr lvl="0">
            <a:defRPr sz="9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1181100</xdr:colOff>
      <xdr:row>3</xdr:row>
      <xdr:rowOff>114300</xdr:rowOff>
    </xdr:from>
    <xdr:ext cx="3857625" cy="2733675"/>
    <xdr:graphicFrame macro="">
      <xdr:nvGraphicFramePr>
        <xdr:cNvPr id="440490215" name="Chart 1" descr="vdfv&#10;">
          <a:extLst>
            <a:ext uri="{FF2B5EF4-FFF2-40B4-BE49-F238E27FC236}">
              <a16:creationId xmlns:a16="http://schemas.microsoft.com/office/drawing/2014/main" id="{00000000-0008-0000-0100-0000E7584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1066800</xdr:colOff>
      <xdr:row>3</xdr:row>
      <xdr:rowOff>85725</xdr:rowOff>
    </xdr:from>
    <xdr:ext cx="3743325" cy="2790825"/>
    <xdr:graphicFrame macro="">
      <xdr:nvGraphicFramePr>
        <xdr:cNvPr id="1944029326" name="Chart 2">
          <a:extLst>
            <a:ext uri="{FF2B5EF4-FFF2-40B4-BE49-F238E27FC236}">
              <a16:creationId xmlns:a16="http://schemas.microsoft.com/office/drawing/2014/main" id="{00000000-0008-0000-0100-00008E88D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1304925</xdr:colOff>
      <xdr:row>19</xdr:row>
      <xdr:rowOff>76200</xdr:rowOff>
    </xdr:from>
    <xdr:ext cx="3781426" cy="2952750"/>
    <xdr:graphicFrame macro="">
      <xdr:nvGraphicFramePr>
        <xdr:cNvPr id="653455794" name="Chart 3">
          <a:extLst>
            <a:ext uri="{FF2B5EF4-FFF2-40B4-BE49-F238E27FC236}">
              <a16:creationId xmlns:a16="http://schemas.microsoft.com/office/drawing/2014/main" id="{00000000-0008-0000-0100-0000B2F1F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11</xdr:col>
      <xdr:colOff>0</xdr:colOff>
      <xdr:row>19</xdr:row>
      <xdr:rowOff>95250</xdr:rowOff>
    </xdr:from>
    <xdr:ext cx="3790950" cy="2905125"/>
    <xdr:graphicFrame macro="">
      <xdr:nvGraphicFramePr>
        <xdr:cNvPr id="135739941" name="Chart 4">
          <a:extLst>
            <a:ext uri="{FF2B5EF4-FFF2-40B4-BE49-F238E27FC236}">
              <a16:creationId xmlns:a16="http://schemas.microsoft.com/office/drawing/2014/main" id="{00000000-0008-0000-0100-0000253A1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00"/>
  <sheetViews>
    <sheetView workbookViewId="0">
      <selection activeCell="F18" sqref="F18"/>
    </sheetView>
  </sheetViews>
  <sheetFormatPr defaultColWidth="14.42578125" defaultRowHeight="15" customHeight="1" x14ac:dyDescent="0.25"/>
  <cols>
    <col min="1" max="1" width="8.7109375" customWidth="1"/>
    <col min="2" max="2" width="24.85546875" customWidth="1"/>
    <col min="3" max="3" width="16.42578125" customWidth="1"/>
    <col min="4" max="4" width="20.42578125" bestFit="1" customWidth="1"/>
    <col min="5" max="5" width="16.140625" customWidth="1"/>
    <col min="6" max="8" width="16.42578125" customWidth="1"/>
    <col min="9" max="11" width="16.140625" customWidth="1"/>
    <col min="12" max="14" width="16.42578125" customWidth="1"/>
    <col min="15" max="17" width="24.42578125" customWidth="1"/>
    <col min="18" max="20" width="16.85546875" customWidth="1"/>
    <col min="21" max="23" width="24.42578125" customWidth="1"/>
    <col min="24" max="24" width="18.7109375" customWidth="1"/>
    <col min="25" max="26" width="15.140625" customWidth="1"/>
    <col min="27" max="29" width="15.85546875" customWidth="1"/>
    <col min="30" max="32" width="22.5703125" customWidth="1"/>
    <col min="33" max="35" width="25.28515625" customWidth="1"/>
    <col min="36" max="36" width="15.140625" customWidth="1"/>
    <col min="37" max="37" width="17" customWidth="1"/>
    <col min="38" max="38" width="17.42578125" customWidth="1"/>
    <col min="39" max="41" width="19.140625" customWidth="1"/>
    <col min="42" max="44" width="20.85546875" customWidth="1"/>
  </cols>
  <sheetData>
    <row r="1" spans="1:44" ht="14.25" customHeight="1" x14ac:dyDescent="0.25">
      <c r="A1" s="1"/>
      <c r="B1" s="1"/>
      <c r="C1" s="1"/>
      <c r="D1" s="1"/>
      <c r="E1" s="1"/>
      <c r="F1" s="1"/>
      <c r="G1" s="2" t="s">
        <v>0</v>
      </c>
      <c r="H1" s="3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14.25" customHeight="1" x14ac:dyDescent="0.25">
      <c r="A2" s="1"/>
      <c r="B2" s="1"/>
      <c r="C2" s="1"/>
      <c r="D2" s="1"/>
      <c r="E2" s="1"/>
      <c r="F2" s="1"/>
      <c r="G2" s="1"/>
      <c r="H2" s="3" t="s">
        <v>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4.25" customHeight="1" x14ac:dyDescent="0.25">
      <c r="A3" s="1"/>
      <c r="B3" s="1"/>
      <c r="C3" s="1"/>
      <c r="D3" s="1"/>
      <c r="E3" s="1"/>
      <c r="F3" s="1"/>
      <c r="G3" s="1"/>
      <c r="H3" s="3" t="s">
        <v>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4.25" customHeight="1" x14ac:dyDescent="0.25">
      <c r="A4" s="1"/>
      <c r="B4" s="1"/>
      <c r="C4" s="1"/>
      <c r="D4" s="1"/>
      <c r="E4" s="1"/>
      <c r="F4" s="1"/>
      <c r="G4" s="1"/>
      <c r="H4" s="3" t="s">
        <v>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2.5" x14ac:dyDescent="0.25">
      <c r="A5" s="1"/>
      <c r="B5" s="4" t="s">
        <v>5</v>
      </c>
      <c r="C5" s="1"/>
      <c r="D5" s="1"/>
      <c r="E5" s="5" t="str">
        <f>DASHBOARD!D2</f>
        <v>Q4 2024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ht="21" customHeight="1" x14ac:dyDescent="0.25">
      <c r="A6" s="1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spans="1:44" ht="14.25" customHeight="1" x14ac:dyDescent="0.25">
      <c r="A7" s="7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spans="1:44" ht="31.5" customHeight="1" x14ac:dyDescent="0.25">
      <c r="A8" s="7"/>
      <c r="B8" s="10"/>
      <c r="C8" s="58" t="s">
        <v>6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60"/>
    </row>
    <row r="9" spans="1:44" ht="14.25" customHeight="1" x14ac:dyDescent="0.25">
      <c r="A9" s="11"/>
      <c r="B9" s="12"/>
      <c r="C9" s="13" t="s">
        <v>7</v>
      </c>
      <c r="D9" s="14" t="s">
        <v>8</v>
      </c>
      <c r="E9" s="15" t="s">
        <v>9</v>
      </c>
      <c r="F9" s="13" t="s">
        <v>7</v>
      </c>
      <c r="G9" s="14" t="s">
        <v>8</v>
      </c>
      <c r="H9" s="14" t="s">
        <v>9</v>
      </c>
      <c r="I9" s="13" t="s">
        <v>7</v>
      </c>
      <c r="J9" s="14" t="s">
        <v>8</v>
      </c>
      <c r="K9" s="15" t="s">
        <v>9</v>
      </c>
      <c r="L9" s="14" t="s">
        <v>7</v>
      </c>
      <c r="M9" s="14" t="s">
        <v>8</v>
      </c>
      <c r="N9" s="15" t="s">
        <v>9</v>
      </c>
      <c r="O9" s="13" t="s">
        <v>7</v>
      </c>
      <c r="P9" s="14" t="s">
        <v>8</v>
      </c>
      <c r="Q9" s="15" t="s">
        <v>9</v>
      </c>
      <c r="R9" s="13" t="s">
        <v>10</v>
      </c>
      <c r="S9" s="14" t="s">
        <v>8</v>
      </c>
      <c r="T9" s="15" t="s">
        <v>9</v>
      </c>
      <c r="U9" s="13" t="s">
        <v>7</v>
      </c>
      <c r="V9" s="14" t="s">
        <v>8</v>
      </c>
      <c r="W9" s="15" t="s">
        <v>9</v>
      </c>
      <c r="X9" s="13" t="s">
        <v>7</v>
      </c>
      <c r="Y9" s="14" t="s">
        <v>8</v>
      </c>
      <c r="Z9" s="15" t="s">
        <v>9</v>
      </c>
      <c r="AA9" s="13" t="s">
        <v>7</v>
      </c>
      <c r="AB9" s="14" t="s">
        <v>8</v>
      </c>
      <c r="AC9" s="15" t="s">
        <v>9</v>
      </c>
      <c r="AD9" s="13" t="s">
        <v>7</v>
      </c>
      <c r="AE9" s="14" t="s">
        <v>8</v>
      </c>
      <c r="AF9" s="15" t="s">
        <v>9</v>
      </c>
      <c r="AG9" s="13" t="s">
        <v>7</v>
      </c>
      <c r="AH9" s="14" t="s">
        <v>8</v>
      </c>
      <c r="AI9" s="15" t="s">
        <v>9</v>
      </c>
      <c r="AJ9" s="13" t="s">
        <v>7</v>
      </c>
      <c r="AK9" s="14" t="s">
        <v>8</v>
      </c>
      <c r="AL9" s="15" t="s">
        <v>9</v>
      </c>
      <c r="AM9" s="13" t="s">
        <v>7</v>
      </c>
      <c r="AN9" s="14" t="s">
        <v>8</v>
      </c>
      <c r="AO9" s="15" t="s">
        <v>9</v>
      </c>
      <c r="AP9" s="13" t="s">
        <v>7</v>
      </c>
      <c r="AQ9" s="14" t="s">
        <v>8</v>
      </c>
      <c r="AR9" s="15" t="s">
        <v>9</v>
      </c>
    </row>
    <row r="10" spans="1:44" ht="80.25" customHeight="1" x14ac:dyDescent="0.25">
      <c r="A10" s="16"/>
      <c r="B10" s="12"/>
      <c r="C10" s="17" t="s">
        <v>11</v>
      </c>
      <c r="D10" s="18" t="s">
        <v>11</v>
      </c>
      <c r="E10" s="19" t="s">
        <v>11</v>
      </c>
      <c r="F10" s="20" t="s">
        <v>12</v>
      </c>
      <c r="G10" s="21" t="s">
        <v>12</v>
      </c>
      <c r="H10" s="22" t="s">
        <v>12</v>
      </c>
      <c r="I10" s="17" t="s">
        <v>13</v>
      </c>
      <c r="J10" s="18" t="s">
        <v>13</v>
      </c>
      <c r="K10" s="19" t="s">
        <v>13</v>
      </c>
      <c r="L10" s="23" t="s">
        <v>14</v>
      </c>
      <c r="M10" s="21" t="s">
        <v>14</v>
      </c>
      <c r="N10" s="24" t="s">
        <v>14</v>
      </c>
      <c r="O10" s="20" t="s">
        <v>15</v>
      </c>
      <c r="P10" s="21" t="s">
        <v>15</v>
      </c>
      <c r="Q10" s="24" t="s">
        <v>15</v>
      </c>
      <c r="R10" s="20" t="s">
        <v>16</v>
      </c>
      <c r="S10" s="21" t="s">
        <v>16</v>
      </c>
      <c r="T10" s="24" t="s">
        <v>16</v>
      </c>
      <c r="U10" s="20" t="s">
        <v>17</v>
      </c>
      <c r="V10" s="21" t="s">
        <v>17</v>
      </c>
      <c r="W10" s="24" t="s">
        <v>17</v>
      </c>
      <c r="X10" s="20" t="s">
        <v>18</v>
      </c>
      <c r="Y10" s="21" t="s">
        <v>18</v>
      </c>
      <c r="Z10" s="24" t="s">
        <v>18</v>
      </c>
      <c r="AA10" s="20" t="s">
        <v>19</v>
      </c>
      <c r="AB10" s="21" t="s">
        <v>19</v>
      </c>
      <c r="AC10" s="24" t="s">
        <v>19</v>
      </c>
      <c r="AD10" s="20" t="s">
        <v>20</v>
      </c>
      <c r="AE10" s="21" t="s">
        <v>20</v>
      </c>
      <c r="AF10" s="24" t="s">
        <v>20</v>
      </c>
      <c r="AG10" s="20" t="s">
        <v>21</v>
      </c>
      <c r="AH10" s="21" t="s">
        <v>21</v>
      </c>
      <c r="AI10" s="24" t="s">
        <v>21</v>
      </c>
      <c r="AJ10" s="20" t="s">
        <v>22</v>
      </c>
      <c r="AK10" s="21" t="s">
        <v>22</v>
      </c>
      <c r="AL10" s="24" t="s">
        <v>22</v>
      </c>
      <c r="AM10" s="20" t="s">
        <v>23</v>
      </c>
      <c r="AN10" s="21" t="s">
        <v>23</v>
      </c>
      <c r="AO10" s="24" t="s">
        <v>23</v>
      </c>
      <c r="AP10" s="20" t="s">
        <v>24</v>
      </c>
      <c r="AQ10" s="21" t="s">
        <v>24</v>
      </c>
      <c r="AR10" s="24" t="s">
        <v>24</v>
      </c>
    </row>
    <row r="11" spans="1:44" ht="14.25" customHeight="1" thickBot="1" x14ac:dyDescent="0.3">
      <c r="A11" s="25"/>
      <c r="B11" s="26" t="s">
        <v>25</v>
      </c>
      <c r="C11" s="27" cm="1">
        <f t="array" ref="C11">_xlfn.SWITCH($E$5,"Q4 2024",_xlfn.XLOOKUP($B11,$B$63:$B$68,C$63:C$68),
"Q3 2024",_xlfn.XLOOKUP($B11,$B$52:$B$57,C$52:C$57),
"Q2 2024",_xlfn.XLOOKUP($B11,$B$41:$B$46,C$41:C$46), "Q1 2024",_xlfn.XLOOKUP($B11,$B$30:$B$35,C$30:C$35))</f>
        <v>145000</v>
      </c>
      <c r="D11" s="27" cm="1">
        <f t="array" ref="D11">_xlfn.SWITCH($E$5,"Q4 2024",_xlfn.XLOOKUP($B11,$B$63:$B$68,D$63:D$68),
"Q3 2024",_xlfn.XLOOKUP($B11,$B$52:$B$57,D$52:D$57),
"Q2 2024",_xlfn.XLOOKUP($B11,$B$41:$B$46,D$41:D$46), "Q1 2024",_xlfn.XLOOKUP($B11,$B$30:$B$35,D$30:D$35))</f>
        <v>150000</v>
      </c>
      <c r="E11" s="27" cm="1">
        <f t="array" ref="E11">_xlfn.SWITCH($E$5,"Q4 2024",_xlfn.XLOOKUP($B11,$B$63:$B$68,E$63:E$68),
"Q3 2024",_xlfn.XLOOKUP($B11,$B$52:$B$57,E$52:E$57),
"Q2 2024",_xlfn.XLOOKUP($B11,$B$41:$B$46,E$41:E$46), "Q1 2024",_xlfn.XLOOKUP($B11,$B$30:$B$35,E$30:E$35))</f>
        <v>150000</v>
      </c>
      <c r="F11" s="27" cm="1">
        <f t="array" ref="F11">_xlfn.SWITCH($E$5,"Q4 2024",_xlfn.XLOOKUP($B11,$B$63:$B$68,F$63:F$68),
"Q3 2024",_xlfn.XLOOKUP($B11,$B$52:$B$57,F$52:F$57),
"Q2 2024",_xlfn.XLOOKUP($B11,$B$41:$B$46,F$41:F$46), "Q1 2024",_xlfn.XLOOKUP($B11,$B$30:$B$35,F$30:F$35))</f>
        <v>165000</v>
      </c>
      <c r="G11" s="27" cm="1">
        <f t="array" ref="G11">_xlfn.SWITCH($E$5,"Q4 2024",_xlfn.XLOOKUP($B11,$B$63:$B$68,G$63:G$68),
"Q3 2024",_xlfn.XLOOKUP($B11,$B$52:$B$57,G$52:G$57),
"Q2 2024",_xlfn.XLOOKUP($B11,$B$41:$B$46,G$41:G$46), "Q1 2024",_xlfn.XLOOKUP($B11,$B$30:$B$35,G$30:G$35))</f>
        <v>155000</v>
      </c>
      <c r="H11" s="27" cm="1">
        <f t="array" ref="H11">_xlfn.SWITCH($E$5,"Q4 2024",_xlfn.XLOOKUP($B11,$B$63:$B$68,H$63:H$68),
"Q3 2024",_xlfn.XLOOKUP($B11,$B$52:$B$57,H$52:H$57),
"Q2 2024",_xlfn.XLOOKUP($B11,$B$41:$B$46,H$41:H$46), "Q1 2024",_xlfn.XLOOKUP($B11,$B$30:$B$35,H$30:H$35))</f>
        <v>145000</v>
      </c>
      <c r="I11" s="27" cm="1">
        <f t="array" ref="I11">_xlfn.SWITCH($E$5,"Q4 2024",_xlfn.XLOOKUP($B11,$B$63:$B$68,I$63:I$68),
"Q3 2024",_xlfn.XLOOKUP($B11,$B$52:$B$57,I$52:I$57),
"Q2 2024",_xlfn.XLOOKUP($B11,$B$41:$B$46,I$41:I$46), "Q1 2024",_xlfn.XLOOKUP($B11,$B$30:$B$35,I$30:I$35))</f>
        <v>155000</v>
      </c>
      <c r="J11" s="27" cm="1">
        <f t="array" ref="J11">_xlfn.SWITCH($E$5,"Q4 2024",_xlfn.XLOOKUP($B11,$B$63:$B$68,J$63:J$68),
"Q3 2024",_xlfn.XLOOKUP($B11,$B$52:$B$57,J$52:J$57),
"Q2 2024",_xlfn.XLOOKUP($B11,$B$41:$B$46,J$41:J$46), "Q1 2024",_xlfn.XLOOKUP($B11,$B$30:$B$35,J$30:J$35))</f>
        <v>125000</v>
      </c>
      <c r="K11" s="27" cm="1">
        <f t="array" ref="K11">_xlfn.SWITCH($E$5,"Q4 2024",_xlfn.XLOOKUP($B11,$B$63:$B$68,K$63:K$68),
"Q3 2024",_xlfn.XLOOKUP($B11,$B$52:$B$57,K$52:K$57),
"Q2 2024",_xlfn.XLOOKUP($B11,$B$41:$B$46,K$41:K$46), "Q1 2024",_xlfn.XLOOKUP($B11,$B$30:$B$35,K$30:K$35))</f>
        <v>145000</v>
      </c>
      <c r="L11" s="27" cm="1">
        <f t="array" ref="L11">_xlfn.SWITCH($E$5,"Q4 2024",_xlfn.XLOOKUP($B11,$B$63:$B$68,L$63:L$68),
"Q3 2024",_xlfn.XLOOKUP($B11,$B$52:$B$57,L$52:L$57),
"Q2 2024",_xlfn.XLOOKUP($B11,$B$41:$B$46,L$41:L$46), "Q1 2024",_xlfn.XLOOKUP($B11,$B$30:$B$35,L$30:L$35))</f>
        <v>75</v>
      </c>
      <c r="M11" s="27" cm="1">
        <f t="array" ref="M11">_xlfn.SWITCH($E$5,"Q4 2024",_xlfn.XLOOKUP($B11,$B$63:$B$68,M$63:M$68),
"Q3 2024",_xlfn.XLOOKUP($B11,$B$52:$B$57,M$52:M$57),
"Q2 2024",_xlfn.XLOOKUP($B11,$B$41:$B$46,M$41:M$46), "Q1 2024",_xlfn.XLOOKUP($B11,$B$30:$B$35,M$30:M$35))</f>
        <v>76</v>
      </c>
      <c r="N11" s="27" cm="1">
        <f t="array" ref="N11">_xlfn.SWITCH($E$5,"Q4 2024",_xlfn.XLOOKUP($B11,$B$63:$B$68,N$63:N$68),
"Q3 2024",_xlfn.XLOOKUP($B11,$B$52:$B$57,N$52:N$57),
"Q2 2024",_xlfn.XLOOKUP($B11,$B$41:$B$46,N$41:N$46), "Q1 2024",_xlfn.XLOOKUP($B11,$B$30:$B$35,N$30:N$35))</f>
        <v>80</v>
      </c>
      <c r="O11" s="27" cm="1">
        <f t="array" ref="O11">_xlfn.SWITCH($E$5,"Q4 2024",_xlfn.XLOOKUP($B11,$B$63:$B$68,O$63:O$68),
"Q3 2024",_xlfn.XLOOKUP($B11,$B$52:$B$57,O$52:O$57),
"Q2 2024",_xlfn.XLOOKUP($B11,$B$41:$B$46,O$41:O$46), "Q1 2024",_xlfn.XLOOKUP($B11,$B$30:$B$35,O$30:O$35))</f>
        <v>20</v>
      </c>
      <c r="P11" s="27" cm="1">
        <f t="array" ref="P11">_xlfn.SWITCH($E$5,"Q4 2024",_xlfn.XLOOKUP($B11,$B$63:$B$68,P$63:P$68),
"Q3 2024",_xlfn.XLOOKUP($B11,$B$52:$B$57,P$52:P$57),
"Q2 2024",_xlfn.XLOOKUP($B11,$B$41:$B$46,P$41:P$46), "Q1 2024",_xlfn.XLOOKUP($B11,$B$30:$B$35,P$30:P$35))</f>
        <v>20</v>
      </c>
      <c r="Q11" s="27" cm="1">
        <f t="array" ref="Q11">_xlfn.SWITCH($E$5,"Q4 2024",_xlfn.XLOOKUP($B11,$B$63:$B$68,Q$63:Q$68),
"Q3 2024",_xlfn.XLOOKUP($B11,$B$52:$B$57,Q$52:Q$57),
"Q2 2024",_xlfn.XLOOKUP($B11,$B$41:$B$46,Q$41:Q$46), "Q1 2024",_xlfn.XLOOKUP($B11,$B$30:$B$35,Q$30:Q$35))</f>
        <v>20</v>
      </c>
      <c r="R11" s="27" cm="1">
        <f t="array" ref="R11">_xlfn.SWITCH($E$5,"Q4 2024",_xlfn.XLOOKUP($B11,$B$63:$B$68,R$63:R$68),
"Q3 2024",_xlfn.XLOOKUP($B11,$B$52:$B$57,R$52:R$57),
"Q2 2024",_xlfn.XLOOKUP($B11,$B$41:$B$46,R$41:R$46), "Q1 2024",_xlfn.XLOOKUP($B11,$B$30:$B$35,R$30:R$35))</f>
        <v>15</v>
      </c>
      <c r="S11" s="27" cm="1">
        <f t="array" ref="S11">_xlfn.SWITCH($E$5,"Q4 2024",_xlfn.XLOOKUP($B11,$B$63:$B$68,S$63:S$68),
"Q3 2024",_xlfn.XLOOKUP($B11,$B$52:$B$57,S$52:S$57),
"Q2 2024",_xlfn.XLOOKUP($B11,$B$41:$B$46,S$41:S$46), "Q1 2024",_xlfn.XLOOKUP($B11,$B$30:$B$35,S$30:S$35))</f>
        <v>22</v>
      </c>
      <c r="T11" s="27" cm="1">
        <f t="array" ref="T11">_xlfn.SWITCH($E$5,"Q4 2024",_xlfn.XLOOKUP($B11,$B$63:$B$68,T$63:T$68),
"Q3 2024",_xlfn.XLOOKUP($B11,$B$52:$B$57,T$52:T$57),
"Q2 2024",_xlfn.XLOOKUP($B11,$B$41:$B$46,T$41:T$46), "Q1 2024",_xlfn.XLOOKUP($B11,$B$30:$B$35,T$30:T$35))</f>
        <v>25</v>
      </c>
      <c r="U11" s="27" cm="1">
        <f t="array" ref="U11">_xlfn.SWITCH($E$5,"Q4 2024",_xlfn.XLOOKUP($B11,$B$63:$B$68,U$63:U$68),
"Q3 2024",_xlfn.XLOOKUP($B11,$B$52:$B$57,U$52:U$57),
"Q2 2024",_xlfn.XLOOKUP($B11,$B$41:$B$46,U$41:U$46), "Q1 2024",_xlfn.XLOOKUP($B11,$B$30:$B$35,U$30:U$35))</f>
        <v>21</v>
      </c>
      <c r="V11" s="27" cm="1">
        <f t="array" ref="V11">_xlfn.SWITCH($E$5,"Q4 2024",_xlfn.XLOOKUP($B11,$B$63:$B$68,V$63:V$68),
"Q3 2024",_xlfn.XLOOKUP($B11,$B$52:$B$57,V$52:V$57),
"Q2 2024",_xlfn.XLOOKUP($B11,$B$41:$B$46,V$41:V$46), "Q1 2024",_xlfn.XLOOKUP($B11,$B$30:$B$35,V$30:V$35))</f>
        <v>17</v>
      </c>
      <c r="W11" s="27" cm="1">
        <f t="array" ref="W11">_xlfn.SWITCH($E$5,"Q4 2024",_xlfn.XLOOKUP($B11,$B$63:$B$68,W$63:W$68),
"Q3 2024",_xlfn.XLOOKUP($B11,$B$52:$B$57,W$52:W$57),
"Q2 2024",_xlfn.XLOOKUP($B11,$B$41:$B$46,W$41:W$46), "Q1 2024",_xlfn.XLOOKUP($B11,$B$30:$B$35,W$30:W$35))</f>
        <v>16</v>
      </c>
      <c r="X11" s="27" cm="1">
        <f t="array" ref="X11">_xlfn.SWITCH($E$5,"Q4 2024",_xlfn.XLOOKUP($B11,$B$63:$B$68,X$63:X$68),
"Q3 2024",_xlfn.XLOOKUP($B11,$B$52:$B$57,X$52:X$57),
"Q2 2024",_xlfn.XLOOKUP($B11,$B$41:$B$46,X$41:X$46), "Q1 2024",_xlfn.XLOOKUP($B11,$B$30:$B$35,X$30:X$35))</f>
        <v>4700</v>
      </c>
      <c r="Y11" s="27" cm="1">
        <f t="array" ref="Y11">_xlfn.SWITCH($E$5,"Q4 2024",_xlfn.XLOOKUP($B11,$B$63:$B$68,Y$63:Y$68),
"Q3 2024",_xlfn.XLOOKUP($B11,$B$52:$B$57,Y$52:Y$57),
"Q2 2024",_xlfn.XLOOKUP($B11,$B$41:$B$46,Y$41:Y$46), "Q1 2024",_xlfn.XLOOKUP($B11,$B$30:$B$35,Y$30:Y$35))</f>
        <v>7000</v>
      </c>
      <c r="Z11" s="27" cm="1">
        <f t="array" ref="Z11">_xlfn.SWITCH($E$5,"Q4 2024",_xlfn.XLOOKUP($B11,$B$63:$B$68,Z$63:Z$68),
"Q3 2024",_xlfn.XLOOKUP($B11,$B$52:$B$57,Z$52:Z$57),
"Q2 2024",_xlfn.XLOOKUP($B11,$B$41:$B$46,Z$41:Z$46), "Q1 2024",_xlfn.XLOOKUP($B11,$B$30:$B$35,Z$30:Z$35))</f>
        <v>6000</v>
      </c>
      <c r="AA11" s="27" cm="1">
        <f t="array" ref="AA11">_xlfn.SWITCH($E$5,"Q4 2024",_xlfn.XLOOKUP($B11,$B$63:$B$68,AA$63:AA$68),
"Q3 2024",_xlfn.XLOOKUP($B11,$B$52:$B$57,AA$52:AA$57),
"Q2 2024",_xlfn.XLOOKUP($B11,$B$41:$B$46,AA$41:AA$46), "Q1 2024",_xlfn.XLOOKUP($B11,$B$30:$B$35,AA$30:AA$35))</f>
        <v>313.33</v>
      </c>
      <c r="AB11" s="27" cm="1">
        <f t="array" ref="AB11">_xlfn.SWITCH($E$5,"Q4 2024",_xlfn.XLOOKUP($B11,$B$63:$B$68,AB$63:AB$68),
"Q3 2024",_xlfn.XLOOKUP($B11,$B$52:$B$57,AB$52:AB$57),
"Q2 2024",_xlfn.XLOOKUP($B11,$B$41:$B$46,AB$41:AB$46), "Q1 2024",_xlfn.XLOOKUP($B11,$B$30:$B$35,AB$30:AB$35))</f>
        <v>318.18</v>
      </c>
      <c r="AC11" s="27" cm="1">
        <f t="array" ref="AC11">_xlfn.SWITCH($E$5,"Q4 2024",_xlfn.XLOOKUP($B11,$B$63:$B$68,AC$63:AC$68),
"Q3 2024",_xlfn.XLOOKUP($B11,$B$52:$B$57,AC$52:AC$57),
"Q2 2024",_xlfn.XLOOKUP($B11,$B$41:$B$46,AC$41:AC$46), "Q1 2024",_xlfn.XLOOKUP($B11,$B$30:$B$35,AC$30:AC$35))</f>
        <v>240</v>
      </c>
      <c r="AD11" s="27" cm="1">
        <f t="array" ref="AD11">_xlfn.SWITCH($E$5,"Q4 2024",_xlfn.XLOOKUP($B11,$B$63:$B$68,AD$63:AD$68),
"Q3 2024",_xlfn.XLOOKUP($B11,$B$52:$B$57,AD$52:AD$57),
"Q2 2024",_xlfn.XLOOKUP($B11,$B$41:$B$46,AD$41:AD$46), "Q1 2024",_xlfn.XLOOKUP($B11,$B$30:$B$35,AD$30:AD$35))</f>
        <v>350</v>
      </c>
      <c r="AE11" s="27" cm="1">
        <f t="array" ref="AE11">_xlfn.SWITCH($E$5,"Q4 2024",_xlfn.XLOOKUP($B11,$B$63:$B$68,AE$63:AE$68),
"Q3 2024",_xlfn.XLOOKUP($B11,$B$52:$B$57,AE$52:AE$57),
"Q2 2024",_xlfn.XLOOKUP($B11,$B$41:$B$46,AE$41:AE$46), "Q1 2024",_xlfn.XLOOKUP($B11,$B$30:$B$35,AE$30:AE$35))</f>
        <v>350</v>
      </c>
      <c r="AF11" s="27" cm="1">
        <f t="array" ref="AF11">_xlfn.SWITCH($E$5,"Q4 2024",_xlfn.XLOOKUP($B11,$B$63:$B$68,AF$63:AF$68),
"Q3 2024",_xlfn.XLOOKUP($B11,$B$52:$B$57,AF$52:AF$57),
"Q2 2024",_xlfn.XLOOKUP($B11,$B$41:$B$46,AF$41:AF$46), "Q1 2024",_xlfn.XLOOKUP($B11,$B$30:$B$35,AF$30:AF$35))</f>
        <v>300</v>
      </c>
      <c r="AG11" s="27" cm="1">
        <f t="array" ref="AG11">_xlfn.SWITCH($E$5,"Q4 2024",_xlfn.XLOOKUP($B11,$B$63:$B$68,AG$63:AG$68),
"Q3 2024",_xlfn.XLOOKUP($B11,$B$52:$B$57,AG$52:AG$57),
"Q2 2024",_xlfn.XLOOKUP($B11,$B$41:$B$46,AG$41:AG$46), "Q1 2024",_xlfn.XLOOKUP($B11,$B$30:$B$35,AG$30:AG$35))</f>
        <v>410</v>
      </c>
      <c r="AH11" s="27" cm="1">
        <f t="array" ref="AH11">_xlfn.SWITCH($E$5,"Q4 2024",_xlfn.XLOOKUP($B11,$B$63:$B$68,AH$63:AH$68),
"Q3 2024",_xlfn.XLOOKUP($B11,$B$52:$B$57,AH$52:AH$57),
"Q2 2024",_xlfn.XLOOKUP($B11,$B$41:$B$46,AH$41:AH$46), "Q1 2024",_xlfn.XLOOKUP($B11,$B$30:$B$35,AH$30:AH$35))</f>
        <v>385</v>
      </c>
      <c r="AI11" s="27" cm="1">
        <f t="array" ref="AI11">_xlfn.SWITCH($E$5,"Q4 2024",_xlfn.XLOOKUP($B11,$B$63:$B$68,AI$63:AI$68),
"Q3 2024",_xlfn.XLOOKUP($B11,$B$52:$B$57,AI$52:AI$57),
"Q2 2024",_xlfn.XLOOKUP($B11,$B$41:$B$46,AI$41:AI$46), "Q1 2024",_xlfn.XLOOKUP($B11,$B$30:$B$35,AI$30:AI$35))</f>
        <v>390</v>
      </c>
      <c r="AJ11" s="27" cm="1">
        <f t="array" ref="AJ11">_xlfn.SWITCH($E$5,"Q4 2024",_xlfn.XLOOKUP($B11,$B$63:$B$68,AJ$63:AJ$68),
"Q3 2024",_xlfn.XLOOKUP($B11,$B$52:$B$57,AJ$52:AJ$57),
"Q2 2024",_xlfn.XLOOKUP($B11,$B$41:$B$46,AJ$41:AJ$46), "Q1 2024",_xlfn.XLOOKUP($B11,$B$30:$B$35,AJ$30:AJ$35))</f>
        <v>1866.67</v>
      </c>
      <c r="AK11" s="27" cm="1">
        <f t="array" ref="AK11">_xlfn.SWITCH($E$5,"Q4 2024",_xlfn.XLOOKUP($B11,$B$63:$B$68,AK$63:AK$68),
"Q3 2024",_xlfn.XLOOKUP($B11,$B$52:$B$57,AK$52:AK$57),
"Q2 2024",_xlfn.XLOOKUP($B11,$B$41:$B$46,AK$41:AK$46), "Q1 2024",_xlfn.XLOOKUP($B11,$B$30:$B$35,AK$30:AK$35))</f>
        <v>1973.68</v>
      </c>
      <c r="AL11" s="27" cm="1">
        <f t="array" ref="AL11">_xlfn.SWITCH($E$5,"Q4 2024",_xlfn.XLOOKUP($B11,$B$63:$B$68,AL$63:AL$68),
"Q3 2024",_xlfn.XLOOKUP($B11,$B$52:$B$57,AL$52:AL$57),
"Q2 2024",_xlfn.XLOOKUP($B11,$B$41:$B$46,AL$41:AL$46), "Q1 2024",_xlfn.XLOOKUP($B11,$B$30:$B$35,AL$30:AL$35))</f>
        <v>1875</v>
      </c>
      <c r="AM11" s="27" cm="1">
        <f t="array" ref="AM11">_xlfn.SWITCH($E$5,"Q4 2024",_xlfn.XLOOKUP($B11,$B$63:$B$68,AM$63:AM$68),
"Q3 2024",_xlfn.XLOOKUP($B11,$B$52:$B$57,AM$52:AM$57),
"Q2 2024",_xlfn.XLOOKUP($B11,$B$41:$B$46,AM$41:AM$46), "Q1 2024",_xlfn.XLOOKUP($B11,$B$30:$B$35,AM$30:AM$35))</f>
        <v>2500</v>
      </c>
      <c r="AN11" s="27" cm="1">
        <f t="array" ref="AN11">_xlfn.SWITCH($E$5,"Q4 2024",_xlfn.XLOOKUP($B11,$B$63:$B$68,AN$63:AN$68),
"Q3 2024",_xlfn.XLOOKUP($B11,$B$52:$B$57,AN$52:AN$57),
"Q2 2024",_xlfn.XLOOKUP($B11,$B$41:$B$46,AN$41:AN$46), "Q1 2024",_xlfn.XLOOKUP($B11,$B$30:$B$35,AN$30:AN$35))</f>
        <v>2700</v>
      </c>
      <c r="AO11" s="27" cm="1">
        <f t="array" ref="AO11">_xlfn.SWITCH($E$5,"Q4 2024",_xlfn.XLOOKUP($B11,$B$63:$B$68,AO$63:AO$68),
"Q3 2024",_xlfn.XLOOKUP($B11,$B$52:$B$57,AO$52:AO$57),
"Q2 2024",_xlfn.XLOOKUP($B11,$B$41:$B$46,AO$41:AO$46), "Q1 2024",_xlfn.XLOOKUP($B11,$B$30:$B$35,AO$30:AO$35))</f>
        <v>2400</v>
      </c>
      <c r="AP11" s="27" cm="1">
        <f t="array" ref="AP11">_xlfn.SWITCH($E$5,"Q4 2024",_xlfn.XLOOKUP($B11,$B$63:$B$68,AP$63:AP$68),
"Q3 2024",_xlfn.XLOOKUP($B11,$B$52:$B$57,AP$52:AP$57),
"Q2 2024",_xlfn.XLOOKUP($B11,$B$41:$B$46,AP$41:AP$46), "Q1 2024",_xlfn.XLOOKUP($B11,$B$30:$B$35,AP$30:AP$35))</f>
        <v>2450</v>
      </c>
      <c r="AQ11" s="27" cm="1">
        <f t="array" ref="AQ11">_xlfn.SWITCH($E$5,"Q4 2024",_xlfn.XLOOKUP($B11,$B$63:$B$68,AQ$63:AQ$68),
"Q3 2024",_xlfn.XLOOKUP($B11,$B$52:$B$57,AQ$52:AQ$57),
"Q2 2024",_xlfn.XLOOKUP($B11,$B$41:$B$46,AQ$41:AQ$46), "Q1 2024",_xlfn.XLOOKUP($B11,$B$30:$B$35,AQ$30:AQ$35))</f>
        <v>2700</v>
      </c>
      <c r="AR11" s="27" cm="1">
        <f t="array" ref="AR11">_xlfn.SWITCH($E$5,"Q4 2024",_xlfn.XLOOKUP($B11,$B$63:$B$68,AR$63:AR$68),
"Q3 2024",_xlfn.XLOOKUP($B11,$B$52:$B$57,AR$52:AR$57),
"Q2 2024",_xlfn.XLOOKUP($B11,$B$41:$B$46,AR$41:AR$46), "Q1 2024",_xlfn.XLOOKUP($B11,$B$30:$B$35,AR$30:AR$35))</f>
        <v>2350</v>
      </c>
    </row>
    <row r="12" spans="1:44" ht="14.25" customHeight="1" thickBot="1" x14ac:dyDescent="0.3">
      <c r="A12" s="25"/>
      <c r="B12" s="26" t="s">
        <v>26</v>
      </c>
      <c r="C12" s="27" cm="1">
        <f t="array" ref="C12">_xlfn.SWITCH($E$5,"Q4 2024",_xlfn.XLOOKUP($B12,$B$63:$B$68,C$63:C$68),
"Q3 2024",_xlfn.XLOOKUP($B12,$B$52:$B$57,C$52:C$57),
"Q2 2024",_xlfn.XLOOKUP($B12,$B$41:$B$46,C$41:C$46), "Q1 2024",_xlfn.XLOOKUP($B12,$B$30:$B$35,C$30:C$35))</f>
        <v>115000</v>
      </c>
      <c r="D12" s="27" cm="1">
        <f t="array" ref="D12">_xlfn.SWITCH($E$5,"Q4 2024",_xlfn.XLOOKUP($B12,$B$63:$B$68,D$63:D$68),
"Q3 2024",_xlfn.XLOOKUP($B12,$B$52:$B$57,D$52:D$57),
"Q2 2024",_xlfn.XLOOKUP($B12,$B$41:$B$46,D$41:D$46), "Q1 2024",_xlfn.XLOOKUP($B12,$B$30:$B$35,D$30:D$35))</f>
        <v>140000</v>
      </c>
      <c r="E12" s="27" cm="1">
        <f t="array" ref="E12">_xlfn.SWITCH($E$5,"Q4 2024",_xlfn.XLOOKUP($B12,$B$63:$B$68,E$63:E$68),
"Q3 2024",_xlfn.XLOOKUP($B12,$B$52:$B$57,E$52:E$57),
"Q2 2024",_xlfn.XLOOKUP($B12,$B$41:$B$46,E$41:E$46), "Q1 2024",_xlfn.XLOOKUP($B12,$B$30:$B$35,E$30:E$35))</f>
        <v>170000</v>
      </c>
      <c r="F12" s="27" cm="1">
        <f t="array" ref="F12">_xlfn.SWITCH($E$5,"Q4 2024",_xlfn.XLOOKUP($B12,$B$63:$B$68,F$63:F$68),
"Q3 2024",_xlfn.XLOOKUP($B12,$B$52:$B$57,F$52:F$57),
"Q2 2024",_xlfn.XLOOKUP($B12,$B$41:$B$46,F$41:F$46), "Q1 2024",_xlfn.XLOOKUP($B12,$B$30:$B$35,F$30:F$35))</f>
        <v>165000</v>
      </c>
      <c r="G12" s="27" cm="1">
        <f t="array" ref="G12">_xlfn.SWITCH($E$5,"Q4 2024",_xlfn.XLOOKUP($B12,$B$63:$B$68,G$63:G$68),
"Q3 2024",_xlfn.XLOOKUP($B12,$B$52:$B$57,G$52:G$57),
"Q2 2024",_xlfn.XLOOKUP($B12,$B$41:$B$46,G$41:G$46), "Q1 2024",_xlfn.XLOOKUP($B12,$B$30:$B$35,G$30:G$35))</f>
        <v>155000</v>
      </c>
      <c r="H12" s="27" cm="1">
        <f t="array" ref="H12">_xlfn.SWITCH($E$5,"Q4 2024",_xlfn.XLOOKUP($B12,$B$63:$B$68,H$63:H$68),
"Q3 2024",_xlfn.XLOOKUP($B12,$B$52:$B$57,H$52:H$57),
"Q2 2024",_xlfn.XLOOKUP($B12,$B$41:$B$46,H$41:H$46), "Q1 2024",_xlfn.XLOOKUP($B12,$B$30:$B$35,H$30:H$35))</f>
        <v>145000</v>
      </c>
      <c r="I12" s="27" cm="1">
        <f t="array" ref="I12">_xlfn.SWITCH($E$5,"Q4 2024",_xlfn.XLOOKUP($B12,$B$63:$B$68,I$63:I$68),
"Q3 2024",_xlfn.XLOOKUP($B12,$B$52:$B$57,I$52:I$57),
"Q2 2024",_xlfn.XLOOKUP($B12,$B$41:$B$46,I$41:I$46), "Q1 2024",_xlfn.XLOOKUP($B12,$B$30:$B$35,I$30:I$35))</f>
        <v>140000</v>
      </c>
      <c r="J12" s="27" cm="1">
        <f t="array" ref="J12">_xlfn.SWITCH($E$5,"Q4 2024",_xlfn.XLOOKUP($B12,$B$63:$B$68,J$63:J$68),
"Q3 2024",_xlfn.XLOOKUP($B12,$B$52:$B$57,J$52:J$57),
"Q2 2024",_xlfn.XLOOKUP($B12,$B$41:$B$46,J$41:J$46), "Q1 2024",_xlfn.XLOOKUP($B12,$B$30:$B$35,J$30:J$35))</f>
        <v>125000</v>
      </c>
      <c r="K12" s="27" cm="1">
        <f t="array" ref="K12">_xlfn.SWITCH($E$5,"Q4 2024",_xlfn.XLOOKUP($B12,$B$63:$B$68,K$63:K$68),
"Q3 2024",_xlfn.XLOOKUP($B12,$B$52:$B$57,K$52:K$57),
"Q2 2024",_xlfn.XLOOKUP($B12,$B$41:$B$46,K$41:K$46), "Q1 2024",_xlfn.XLOOKUP($B12,$B$30:$B$35,K$30:K$35))</f>
        <v>130000</v>
      </c>
      <c r="L12" s="27" cm="1">
        <f t="array" ref="L12">_xlfn.SWITCH($E$5,"Q4 2024",_xlfn.XLOOKUP($B12,$B$63:$B$68,L$63:L$68),
"Q3 2024",_xlfn.XLOOKUP($B12,$B$52:$B$57,L$52:L$57),
"Q2 2024",_xlfn.XLOOKUP($B12,$B$41:$B$46,L$41:L$46), "Q1 2024",_xlfn.XLOOKUP($B12,$B$30:$B$35,L$30:L$35))</f>
        <v>65</v>
      </c>
      <c r="M12" s="27" cm="1">
        <f t="array" ref="M12">_xlfn.SWITCH($E$5,"Q4 2024",_xlfn.XLOOKUP($B12,$B$63:$B$68,M$63:M$68),
"Q3 2024",_xlfn.XLOOKUP($B12,$B$52:$B$57,M$52:M$57),
"Q2 2024",_xlfn.XLOOKUP($B12,$B$41:$B$46,M$41:M$46), "Q1 2024",_xlfn.XLOOKUP($B12,$B$30:$B$35,M$30:M$35))</f>
        <v>85</v>
      </c>
      <c r="N12" s="27" cm="1">
        <f t="array" ref="N12">_xlfn.SWITCH($E$5,"Q4 2024",_xlfn.XLOOKUP($B12,$B$63:$B$68,N$63:N$68),
"Q3 2024",_xlfn.XLOOKUP($B12,$B$52:$B$57,N$52:N$57),
"Q2 2024",_xlfn.XLOOKUP($B12,$B$41:$B$46,N$41:N$46), "Q1 2024",_xlfn.XLOOKUP($B12,$B$30:$B$35,N$30:N$35))</f>
        <v>70</v>
      </c>
      <c r="O12" s="27" cm="1">
        <f t="array" ref="O12">_xlfn.SWITCH($E$5,"Q4 2024",_xlfn.XLOOKUP($B12,$B$63:$B$68,O$63:O$68),
"Q3 2024",_xlfn.XLOOKUP($B12,$B$52:$B$57,O$52:O$57),
"Q2 2024",_xlfn.XLOOKUP($B12,$B$41:$B$46,O$41:O$46), "Q1 2024",_xlfn.XLOOKUP($B12,$B$30:$B$35,O$30:O$35))</f>
        <v>20</v>
      </c>
      <c r="P12" s="27" cm="1">
        <f t="array" ref="P12">_xlfn.SWITCH($E$5,"Q4 2024",_xlfn.XLOOKUP($B12,$B$63:$B$68,P$63:P$68),
"Q3 2024",_xlfn.XLOOKUP($B12,$B$52:$B$57,P$52:P$57),
"Q2 2024",_xlfn.XLOOKUP($B12,$B$41:$B$46,P$41:P$46), "Q1 2024",_xlfn.XLOOKUP($B12,$B$30:$B$35,P$30:P$35))</f>
        <v>20</v>
      </c>
      <c r="Q12" s="27" cm="1">
        <f t="array" ref="Q12">_xlfn.SWITCH($E$5,"Q4 2024",_xlfn.XLOOKUP($B12,$B$63:$B$68,Q$63:Q$68),
"Q3 2024",_xlfn.XLOOKUP($B12,$B$52:$B$57,Q$52:Q$57),
"Q2 2024",_xlfn.XLOOKUP($B12,$B$41:$B$46,Q$41:Q$46), "Q1 2024",_xlfn.XLOOKUP($B12,$B$30:$B$35,Q$30:Q$35))</f>
        <v>20</v>
      </c>
      <c r="R12" s="27" cm="1">
        <f t="array" ref="R12">_xlfn.SWITCH($E$5,"Q4 2024",_xlfn.XLOOKUP($B12,$B$63:$B$68,R$63:R$68),
"Q3 2024",_xlfn.XLOOKUP($B12,$B$52:$B$57,R$52:R$57),
"Q2 2024",_xlfn.XLOOKUP($B12,$B$41:$B$46,R$41:R$46), "Q1 2024",_xlfn.XLOOKUP($B12,$B$30:$B$35,R$30:R$35))</f>
        <v>25</v>
      </c>
      <c r="S12" s="27" cm="1">
        <f t="array" ref="S12">_xlfn.SWITCH($E$5,"Q4 2024",_xlfn.XLOOKUP($B12,$B$63:$B$68,S$63:S$68),
"Q3 2024",_xlfn.XLOOKUP($B12,$B$52:$B$57,S$52:S$57),
"Q2 2024",_xlfn.XLOOKUP($B12,$B$41:$B$46,S$41:S$46), "Q1 2024",_xlfn.XLOOKUP($B12,$B$30:$B$35,S$30:S$35))</f>
        <v>18</v>
      </c>
      <c r="T12" s="27" cm="1">
        <f t="array" ref="T12">_xlfn.SWITCH($E$5,"Q4 2024",_xlfn.XLOOKUP($B12,$B$63:$B$68,T$63:T$68),
"Q3 2024",_xlfn.XLOOKUP($B12,$B$52:$B$57,T$52:T$57),
"Q2 2024",_xlfn.XLOOKUP($B12,$B$41:$B$46,T$41:T$46), "Q1 2024",_xlfn.XLOOKUP($B12,$B$30:$B$35,T$30:T$35))</f>
        <v>24</v>
      </c>
      <c r="U12" s="27" cm="1">
        <f t="array" ref="U12">_xlfn.SWITCH($E$5,"Q4 2024",_xlfn.XLOOKUP($B12,$B$63:$B$68,U$63:U$68),
"Q3 2024",_xlfn.XLOOKUP($B12,$B$52:$B$57,U$52:U$57),
"Q2 2024",_xlfn.XLOOKUP($B12,$B$41:$B$46,U$41:U$46), "Q1 2024",_xlfn.XLOOKUP($B12,$B$30:$B$35,U$30:U$35))</f>
        <v>16</v>
      </c>
      <c r="V12" s="27" cm="1">
        <f t="array" ref="V12">_xlfn.SWITCH($E$5,"Q4 2024",_xlfn.XLOOKUP($B12,$B$63:$B$68,V$63:V$68),
"Q3 2024",_xlfn.XLOOKUP($B12,$B$52:$B$57,V$52:V$57),
"Q2 2024",_xlfn.XLOOKUP($B12,$B$41:$B$46,V$41:V$46), "Q1 2024",_xlfn.XLOOKUP($B12,$B$30:$B$35,V$30:V$35))</f>
        <v>14</v>
      </c>
      <c r="W12" s="27" cm="1">
        <f t="array" ref="W12">_xlfn.SWITCH($E$5,"Q4 2024",_xlfn.XLOOKUP($B12,$B$63:$B$68,W$63:W$68),
"Q3 2024",_xlfn.XLOOKUP($B12,$B$52:$B$57,W$52:W$57),
"Q2 2024",_xlfn.XLOOKUP($B12,$B$41:$B$46,W$41:W$46), "Q1 2024",_xlfn.XLOOKUP($B12,$B$30:$B$35,W$30:W$35))</f>
        <v>21</v>
      </c>
      <c r="X12" s="27" cm="1">
        <f t="array" ref="X12">_xlfn.SWITCH($E$5,"Q4 2024",_xlfn.XLOOKUP($B12,$B$63:$B$68,X$63:X$68),
"Q3 2024",_xlfn.XLOOKUP($B12,$B$52:$B$57,X$52:X$57),
"Q2 2024",_xlfn.XLOOKUP($B12,$B$41:$B$46,X$41:X$46), "Q1 2024",_xlfn.XLOOKUP($B12,$B$30:$B$35,X$30:X$35))</f>
        <v>6000</v>
      </c>
      <c r="Y12" s="27" cm="1">
        <f t="array" ref="Y12">_xlfn.SWITCH($E$5,"Q4 2024",_xlfn.XLOOKUP($B12,$B$63:$B$68,Y$63:Y$68),
"Q3 2024",_xlfn.XLOOKUP($B12,$B$52:$B$57,Y$52:Y$57),
"Q2 2024",_xlfn.XLOOKUP($B12,$B$41:$B$46,Y$41:Y$46), "Q1 2024",_xlfn.XLOOKUP($B12,$B$30:$B$35,Y$30:Y$35))</f>
        <v>5000</v>
      </c>
      <c r="Z12" s="27" cm="1">
        <f t="array" ref="Z12">_xlfn.SWITCH($E$5,"Q4 2024",_xlfn.XLOOKUP($B12,$B$63:$B$68,Z$63:Z$68),
"Q3 2024",_xlfn.XLOOKUP($B12,$B$52:$B$57,Z$52:Z$57),
"Q2 2024",_xlfn.XLOOKUP($B12,$B$41:$B$46,Z$41:Z$46), "Q1 2024",_xlfn.XLOOKUP($B12,$B$30:$B$35,Z$30:Z$35))</f>
        <v>8500</v>
      </c>
      <c r="AA12" s="27" cm="1">
        <f t="array" ref="AA12">_xlfn.SWITCH($E$5,"Q4 2024",_xlfn.XLOOKUP($B12,$B$63:$B$68,AA$63:AA$68),
"Q3 2024",_xlfn.XLOOKUP($B12,$B$52:$B$57,AA$52:AA$57),
"Q2 2024",_xlfn.XLOOKUP($B12,$B$41:$B$46,AA$41:AA$46), "Q1 2024",_xlfn.XLOOKUP($B12,$B$30:$B$35,AA$30:AA$35))</f>
        <v>240</v>
      </c>
      <c r="AB12" s="27" cm="1">
        <f t="array" ref="AB12">_xlfn.SWITCH($E$5,"Q4 2024",_xlfn.XLOOKUP($B12,$B$63:$B$68,AB$63:AB$68),
"Q3 2024",_xlfn.XLOOKUP($B12,$B$52:$B$57,AB$52:AB$57),
"Q2 2024",_xlfn.XLOOKUP($B12,$B$41:$B$46,AB$41:AB$46), "Q1 2024",_xlfn.XLOOKUP($B12,$B$30:$B$35,AB$30:AB$35))</f>
        <v>277.77999999999997</v>
      </c>
      <c r="AC12" s="27" cm="1">
        <f t="array" ref="AC12">_xlfn.SWITCH($E$5,"Q4 2024",_xlfn.XLOOKUP($B12,$B$63:$B$68,AC$63:AC$68),
"Q3 2024",_xlfn.XLOOKUP($B12,$B$52:$B$57,AC$52:AC$57),
"Q2 2024",_xlfn.XLOOKUP($B12,$B$41:$B$46,AC$41:AC$46), "Q1 2024",_xlfn.XLOOKUP($B12,$B$30:$B$35,AC$30:AC$35))</f>
        <v>354.17</v>
      </c>
      <c r="AD12" s="27" cm="1">
        <f t="array" ref="AD12">_xlfn.SWITCH($E$5,"Q4 2024",_xlfn.XLOOKUP($B12,$B$63:$B$68,AD$63:AD$68),
"Q3 2024",_xlfn.XLOOKUP($B12,$B$52:$B$57,AD$52:AD$57),
"Q2 2024",_xlfn.XLOOKUP($B12,$B$41:$B$46,AD$41:AD$46), "Q1 2024",_xlfn.XLOOKUP($B12,$B$30:$B$35,AD$30:AD$35))</f>
        <v>350</v>
      </c>
      <c r="AE12" s="27" cm="1">
        <f t="array" ref="AE12">_xlfn.SWITCH($E$5,"Q4 2024",_xlfn.XLOOKUP($B12,$B$63:$B$68,AE$63:AE$68),
"Q3 2024",_xlfn.XLOOKUP($B12,$B$52:$B$57,AE$52:AE$57),
"Q2 2024",_xlfn.XLOOKUP($B12,$B$41:$B$46,AE$41:AE$46), "Q1 2024",_xlfn.XLOOKUP($B12,$B$30:$B$35,AE$30:AE$35))</f>
        <v>350</v>
      </c>
      <c r="AF12" s="27" cm="1">
        <f t="array" ref="AF12">_xlfn.SWITCH($E$5,"Q4 2024",_xlfn.XLOOKUP($B12,$B$63:$B$68,AF$63:AF$68),
"Q3 2024",_xlfn.XLOOKUP($B12,$B$52:$B$57,AF$52:AF$57),
"Q2 2024",_xlfn.XLOOKUP($B12,$B$41:$B$46,AF$41:AF$46), "Q1 2024",_xlfn.XLOOKUP($B12,$B$30:$B$35,AF$30:AF$35))</f>
        <v>300</v>
      </c>
      <c r="AG12" s="27" cm="1">
        <f t="array" ref="AG12">_xlfn.SWITCH($E$5,"Q4 2024",_xlfn.XLOOKUP($B12,$B$63:$B$68,AG$63:AG$68),
"Q3 2024",_xlfn.XLOOKUP($B12,$B$52:$B$57,AG$52:AG$57),
"Q2 2024",_xlfn.XLOOKUP($B12,$B$41:$B$46,AG$41:AG$46), "Q1 2024",_xlfn.XLOOKUP($B12,$B$30:$B$35,AG$30:AG$35))</f>
        <v>408</v>
      </c>
      <c r="AH12" s="27" cm="1">
        <f t="array" ref="AH12">_xlfn.SWITCH($E$5,"Q4 2024",_xlfn.XLOOKUP($B12,$B$63:$B$68,AH$63:AH$68),
"Q3 2024",_xlfn.XLOOKUP($B12,$B$52:$B$57,AH$52:AH$57),
"Q2 2024",_xlfn.XLOOKUP($B12,$B$41:$B$46,AH$41:AH$46), "Q1 2024",_xlfn.XLOOKUP($B12,$B$30:$B$35,AH$30:AH$35))</f>
        <v>350</v>
      </c>
      <c r="AI12" s="27" cm="1">
        <f t="array" ref="AI12">_xlfn.SWITCH($E$5,"Q4 2024",_xlfn.XLOOKUP($B12,$B$63:$B$68,AI$63:AI$68),
"Q3 2024",_xlfn.XLOOKUP($B12,$B$52:$B$57,AI$52:AI$57),
"Q2 2024",_xlfn.XLOOKUP($B12,$B$41:$B$46,AI$41:AI$46), "Q1 2024",_xlfn.XLOOKUP($B12,$B$30:$B$35,AI$30:AI$35))</f>
        <v>370</v>
      </c>
      <c r="AJ12" s="27" cm="1">
        <f t="array" ref="AJ12">_xlfn.SWITCH($E$5,"Q4 2024",_xlfn.XLOOKUP($B12,$B$63:$B$68,AJ$63:AJ$68),
"Q3 2024",_xlfn.XLOOKUP($B12,$B$52:$B$57,AJ$52:AJ$57),
"Q2 2024",_xlfn.XLOOKUP($B12,$B$41:$B$46,AJ$41:AJ$46), "Q1 2024",_xlfn.XLOOKUP($B12,$B$30:$B$35,AJ$30:AJ$35))</f>
        <v>1769.23</v>
      </c>
      <c r="AK12" s="27" cm="1">
        <f t="array" ref="AK12">_xlfn.SWITCH($E$5,"Q4 2024",_xlfn.XLOOKUP($B12,$B$63:$B$68,AK$63:AK$68),
"Q3 2024",_xlfn.XLOOKUP($B12,$B$52:$B$57,AK$52:AK$57),
"Q2 2024",_xlfn.XLOOKUP($B12,$B$41:$B$46,AK$41:AK$46), "Q1 2024",_xlfn.XLOOKUP($B12,$B$30:$B$35,AK$30:AK$35))</f>
        <v>1647.06</v>
      </c>
      <c r="AL12" s="27" cm="1">
        <f t="array" ref="AL12">_xlfn.SWITCH($E$5,"Q4 2024",_xlfn.XLOOKUP($B12,$B$63:$B$68,AL$63:AL$68),
"Q3 2024",_xlfn.XLOOKUP($B12,$B$52:$B$57,AL$52:AL$57),
"Q2 2024",_xlfn.XLOOKUP($B12,$B$41:$B$46,AL$41:AL$46), "Q1 2024",_xlfn.XLOOKUP($B12,$B$30:$B$35,AL$30:AL$35))</f>
        <v>2428.5700000000002</v>
      </c>
      <c r="AM12" s="27" cm="1">
        <f t="array" ref="AM12">_xlfn.SWITCH($E$5,"Q4 2024",_xlfn.XLOOKUP($B12,$B$63:$B$68,AM$63:AM$68),
"Q3 2024",_xlfn.XLOOKUP($B12,$B$52:$B$57,AM$52:AM$57),
"Q2 2024",_xlfn.XLOOKUP($B12,$B$41:$B$46,AM$41:AM$46), "Q1 2024",_xlfn.XLOOKUP($B12,$B$30:$B$35,AM$30:AM$35))</f>
        <v>1800</v>
      </c>
      <c r="AN12" s="27" cm="1">
        <f t="array" ref="AN12">_xlfn.SWITCH($E$5,"Q4 2024",_xlfn.XLOOKUP($B12,$B$63:$B$68,AN$63:AN$68),
"Q3 2024",_xlfn.XLOOKUP($B12,$B$52:$B$57,AN$52:AN$57),
"Q2 2024",_xlfn.XLOOKUP($B12,$B$41:$B$46,AN$41:AN$46), "Q1 2024",_xlfn.XLOOKUP($B12,$B$30:$B$35,AN$30:AN$35))</f>
        <v>2200</v>
      </c>
      <c r="AO12" s="27" cm="1">
        <f t="array" ref="AO12">_xlfn.SWITCH($E$5,"Q4 2024",_xlfn.XLOOKUP($B12,$B$63:$B$68,AO$63:AO$68),
"Q3 2024",_xlfn.XLOOKUP($B12,$B$52:$B$57,AO$52:AO$57),
"Q2 2024",_xlfn.XLOOKUP($B12,$B$41:$B$46,AO$41:AO$46), "Q1 2024",_xlfn.XLOOKUP($B12,$B$30:$B$35,AO$30:AO$35))</f>
        <v>2300</v>
      </c>
      <c r="AP12" s="27" cm="1">
        <f t="array" ref="AP12">_xlfn.SWITCH($E$5,"Q4 2024",_xlfn.XLOOKUP($B12,$B$63:$B$68,AP$63:AP$68),
"Q3 2024",_xlfn.XLOOKUP($B12,$B$52:$B$57,AP$52:AP$57),
"Q2 2024",_xlfn.XLOOKUP($B12,$B$41:$B$46,AP$41:AP$46), "Q1 2024",_xlfn.XLOOKUP($B12,$B$30:$B$35,AP$30:AP$35))</f>
        <v>2450</v>
      </c>
      <c r="AQ12" s="27" cm="1">
        <f t="array" ref="AQ12">_xlfn.SWITCH($E$5,"Q4 2024",_xlfn.XLOOKUP($B12,$B$63:$B$68,AQ$63:AQ$68),
"Q3 2024",_xlfn.XLOOKUP($B12,$B$52:$B$57,AQ$52:AQ$57),
"Q2 2024",_xlfn.XLOOKUP($B12,$B$41:$B$46,AQ$41:AQ$46), "Q1 2024",_xlfn.XLOOKUP($B12,$B$30:$B$35,AQ$30:AQ$35))</f>
        <v>2700</v>
      </c>
      <c r="AR12" s="27" cm="1">
        <f t="array" ref="AR12">_xlfn.SWITCH($E$5,"Q4 2024",_xlfn.XLOOKUP($B12,$B$63:$B$68,AR$63:AR$68),
"Q3 2024",_xlfn.XLOOKUP($B12,$B$52:$B$57,AR$52:AR$57),
"Q2 2024",_xlfn.XLOOKUP($B12,$B$41:$B$46,AR$41:AR$46), "Q1 2024",_xlfn.XLOOKUP($B12,$B$30:$B$35,AR$30:AR$35))</f>
        <v>2350</v>
      </c>
    </row>
    <row r="13" spans="1:44" ht="14.25" customHeight="1" thickBot="1" x14ac:dyDescent="0.3">
      <c r="A13" s="25"/>
      <c r="B13" s="26" t="s">
        <v>27</v>
      </c>
      <c r="C13" s="27" cm="1">
        <f t="array" ref="C13">_xlfn.SWITCH($E$5,"Q4 2024",_xlfn.XLOOKUP($B13,$B$63:$B$68,C$63:C$68),
"Q3 2024",_xlfn.XLOOKUP($B13,$B$52:$B$57,C$52:C$57),
"Q2 2024",_xlfn.XLOOKUP($B13,$B$41:$B$46,C$41:C$46), "Q1 2024",_xlfn.XLOOKUP($B13,$B$30:$B$35,C$30:C$35))</f>
        <v>165000</v>
      </c>
      <c r="D13" s="27" cm="1">
        <f t="array" ref="D13">_xlfn.SWITCH($E$5,"Q4 2024",_xlfn.XLOOKUP($B13,$B$63:$B$68,D$63:D$68),
"Q3 2024",_xlfn.XLOOKUP($B13,$B$52:$B$57,D$52:D$57),
"Q2 2024",_xlfn.XLOOKUP($B13,$B$41:$B$46,D$41:D$46), "Q1 2024",_xlfn.XLOOKUP($B13,$B$30:$B$35,D$30:D$35))</f>
        <v>140000</v>
      </c>
      <c r="E13" s="27" cm="1">
        <f t="array" ref="E13">_xlfn.SWITCH($E$5,"Q4 2024",_xlfn.XLOOKUP($B13,$B$63:$B$68,E$63:E$68),
"Q3 2024",_xlfn.XLOOKUP($B13,$B$52:$B$57,E$52:E$57),
"Q2 2024",_xlfn.XLOOKUP($B13,$B$41:$B$46,E$41:E$46), "Q1 2024",_xlfn.XLOOKUP($B13,$B$30:$B$35,E$30:E$35))</f>
        <v>145000</v>
      </c>
      <c r="F13" s="27" cm="1">
        <f t="array" ref="F13">_xlfn.SWITCH($E$5,"Q4 2024",_xlfn.XLOOKUP($B13,$B$63:$B$68,F$63:F$68),
"Q3 2024",_xlfn.XLOOKUP($B13,$B$52:$B$57,F$52:F$57),
"Q2 2024",_xlfn.XLOOKUP($B13,$B$41:$B$46,F$41:F$46), "Q1 2024",_xlfn.XLOOKUP($B13,$B$30:$B$35,F$30:F$35))</f>
        <v>165000</v>
      </c>
      <c r="G13" s="27" cm="1">
        <f t="array" ref="G13">_xlfn.SWITCH($E$5,"Q4 2024",_xlfn.XLOOKUP($B13,$B$63:$B$68,G$63:G$68),
"Q3 2024",_xlfn.XLOOKUP($B13,$B$52:$B$57,G$52:G$57),
"Q2 2024",_xlfn.XLOOKUP($B13,$B$41:$B$46,G$41:G$46), "Q1 2024",_xlfn.XLOOKUP($B13,$B$30:$B$35,G$30:G$35))</f>
        <v>155000</v>
      </c>
      <c r="H13" s="27" cm="1">
        <f t="array" ref="H13">_xlfn.SWITCH($E$5,"Q4 2024",_xlfn.XLOOKUP($B13,$B$63:$B$68,H$63:H$68),
"Q3 2024",_xlfn.XLOOKUP($B13,$B$52:$B$57,H$52:H$57),
"Q2 2024",_xlfn.XLOOKUP($B13,$B$41:$B$46,H$41:H$46), "Q1 2024",_xlfn.XLOOKUP($B13,$B$30:$B$35,H$30:H$35))</f>
        <v>145000</v>
      </c>
      <c r="I13" s="27" cm="1">
        <f t="array" ref="I13">_xlfn.SWITCH($E$5,"Q4 2024",_xlfn.XLOOKUP($B13,$B$63:$B$68,I$63:I$68),
"Q3 2024",_xlfn.XLOOKUP($B13,$B$52:$B$57,I$52:I$57),
"Q2 2024",_xlfn.XLOOKUP($B13,$B$41:$B$46,I$41:I$46), "Q1 2024",_xlfn.XLOOKUP($B13,$B$30:$B$35,I$30:I$35))</f>
        <v>165000</v>
      </c>
      <c r="J13" s="27" cm="1">
        <f t="array" ref="J13">_xlfn.SWITCH($E$5,"Q4 2024",_xlfn.XLOOKUP($B13,$B$63:$B$68,J$63:J$68),
"Q3 2024",_xlfn.XLOOKUP($B13,$B$52:$B$57,J$52:J$57),
"Q2 2024",_xlfn.XLOOKUP($B13,$B$41:$B$46,J$41:J$46), "Q1 2024",_xlfn.XLOOKUP($B13,$B$30:$B$35,J$30:J$35))</f>
        <v>150000</v>
      </c>
      <c r="K13" s="27" cm="1">
        <f t="array" ref="K13">_xlfn.SWITCH($E$5,"Q4 2024",_xlfn.XLOOKUP($B13,$B$63:$B$68,K$63:K$68),
"Q3 2024",_xlfn.XLOOKUP($B13,$B$52:$B$57,K$52:K$57),
"Q2 2024",_xlfn.XLOOKUP($B13,$B$41:$B$46,K$41:K$46), "Q1 2024",_xlfn.XLOOKUP($B13,$B$30:$B$35,K$30:K$35))</f>
        <v>155000</v>
      </c>
      <c r="L13" s="27" cm="1">
        <f t="array" ref="L13">_xlfn.SWITCH($E$5,"Q4 2024",_xlfn.XLOOKUP($B13,$B$63:$B$68,L$63:L$68),
"Q3 2024",_xlfn.XLOOKUP($B13,$B$52:$B$57,L$52:L$57),
"Q2 2024",_xlfn.XLOOKUP($B13,$B$41:$B$46,L$41:L$46), "Q1 2024",_xlfn.XLOOKUP($B13,$B$30:$B$35,L$30:L$35))</f>
        <v>65</v>
      </c>
      <c r="M13" s="27" cm="1">
        <f t="array" ref="M13">_xlfn.SWITCH($E$5,"Q4 2024",_xlfn.XLOOKUP($B13,$B$63:$B$68,M$63:M$68),
"Q3 2024",_xlfn.XLOOKUP($B13,$B$52:$B$57,M$52:M$57),
"Q2 2024",_xlfn.XLOOKUP($B13,$B$41:$B$46,M$41:M$46), "Q1 2024",_xlfn.XLOOKUP($B13,$B$30:$B$35,M$30:M$35))</f>
        <v>72</v>
      </c>
      <c r="N13" s="27" cm="1">
        <f t="array" ref="N13">_xlfn.SWITCH($E$5,"Q4 2024",_xlfn.XLOOKUP($B13,$B$63:$B$68,N$63:N$68),
"Q3 2024",_xlfn.XLOOKUP($B13,$B$52:$B$57,N$52:N$57),
"Q2 2024",_xlfn.XLOOKUP($B13,$B$41:$B$46,N$41:N$46), "Q1 2024",_xlfn.XLOOKUP($B13,$B$30:$B$35,N$30:N$35))</f>
        <v>78</v>
      </c>
      <c r="O13" s="27" cm="1">
        <f t="array" ref="O13">_xlfn.SWITCH($E$5,"Q4 2024",_xlfn.XLOOKUP($B13,$B$63:$B$68,O$63:O$68),
"Q3 2024",_xlfn.XLOOKUP($B13,$B$52:$B$57,O$52:O$57),
"Q2 2024",_xlfn.XLOOKUP($B13,$B$41:$B$46,O$41:O$46), "Q1 2024",_xlfn.XLOOKUP($B13,$B$30:$B$35,O$30:O$35))</f>
        <v>20</v>
      </c>
      <c r="P13" s="27" cm="1">
        <f t="array" ref="P13">_xlfn.SWITCH($E$5,"Q4 2024",_xlfn.XLOOKUP($B13,$B$63:$B$68,P$63:P$68),
"Q3 2024",_xlfn.XLOOKUP($B13,$B$52:$B$57,P$52:P$57),
"Q2 2024",_xlfn.XLOOKUP($B13,$B$41:$B$46,P$41:P$46), "Q1 2024",_xlfn.XLOOKUP($B13,$B$30:$B$35,P$30:P$35))</f>
        <v>20</v>
      </c>
      <c r="Q13" s="27" cm="1">
        <f t="array" ref="Q13">_xlfn.SWITCH($E$5,"Q4 2024",_xlfn.XLOOKUP($B13,$B$63:$B$68,Q$63:Q$68),
"Q3 2024",_xlfn.XLOOKUP($B13,$B$52:$B$57,Q$52:Q$57),
"Q2 2024",_xlfn.XLOOKUP($B13,$B$41:$B$46,Q$41:Q$46), "Q1 2024",_xlfn.XLOOKUP($B13,$B$30:$B$35,Q$30:Q$35))</f>
        <v>20</v>
      </c>
      <c r="R13" s="27" cm="1">
        <f t="array" ref="R13">_xlfn.SWITCH($E$5,"Q4 2024",_xlfn.XLOOKUP($B13,$B$63:$B$68,R$63:R$68),
"Q3 2024",_xlfn.XLOOKUP($B13,$B$52:$B$57,R$52:R$57),
"Q2 2024",_xlfn.XLOOKUP($B13,$B$41:$B$46,R$41:R$46), "Q1 2024",_xlfn.XLOOKUP($B13,$B$30:$B$35,R$30:R$35))</f>
        <v>25</v>
      </c>
      <c r="S13" s="27" cm="1">
        <f t="array" ref="S13">_xlfn.SWITCH($E$5,"Q4 2024",_xlfn.XLOOKUP($B13,$B$63:$B$68,S$63:S$68),
"Q3 2024",_xlfn.XLOOKUP($B13,$B$52:$B$57,S$52:S$57),
"Q2 2024",_xlfn.XLOOKUP($B13,$B$41:$B$46,S$41:S$46), "Q1 2024",_xlfn.XLOOKUP($B13,$B$30:$B$35,S$30:S$35))</f>
        <v>17</v>
      </c>
      <c r="T13" s="27" cm="1">
        <f t="array" ref="T13">_xlfn.SWITCH($E$5,"Q4 2024",_xlfn.XLOOKUP($B13,$B$63:$B$68,T$63:T$68),
"Q3 2024",_xlfn.XLOOKUP($B13,$B$52:$B$57,T$52:T$57),
"Q2 2024",_xlfn.XLOOKUP($B13,$B$41:$B$46,T$41:T$46), "Q1 2024",_xlfn.XLOOKUP($B13,$B$30:$B$35,T$30:T$35))</f>
        <v>14</v>
      </c>
      <c r="U13" s="27" cm="1">
        <f t="array" ref="U13">_xlfn.SWITCH($E$5,"Q4 2024",_xlfn.XLOOKUP($B13,$B$63:$B$68,U$63:U$68),
"Q3 2024",_xlfn.XLOOKUP($B13,$B$52:$B$57,U$52:U$57),
"Q2 2024",_xlfn.XLOOKUP($B13,$B$41:$B$46,U$41:U$46), "Q1 2024",_xlfn.XLOOKUP($B13,$B$30:$B$35,U$30:U$35))</f>
        <v>15</v>
      </c>
      <c r="V13" s="27" cm="1">
        <f t="array" ref="V13">_xlfn.SWITCH($E$5,"Q4 2024",_xlfn.XLOOKUP($B13,$B$63:$B$68,V$63:V$68),
"Q3 2024",_xlfn.XLOOKUP($B13,$B$52:$B$57,V$52:V$57),
"Q2 2024",_xlfn.XLOOKUP($B13,$B$41:$B$46,V$41:V$46), "Q1 2024",_xlfn.XLOOKUP($B13,$B$30:$B$35,V$30:V$35))</f>
        <v>21</v>
      </c>
      <c r="W13" s="27" cm="1">
        <f t="array" ref="W13">_xlfn.SWITCH($E$5,"Q4 2024",_xlfn.XLOOKUP($B13,$B$63:$B$68,W$63:W$68),
"Q3 2024",_xlfn.XLOOKUP($B13,$B$52:$B$57,W$52:W$57),
"Q2 2024",_xlfn.XLOOKUP($B13,$B$41:$B$46,W$41:W$46), "Q1 2024",_xlfn.XLOOKUP($B13,$B$30:$B$35,W$30:W$35))</f>
        <v>20</v>
      </c>
      <c r="X13" s="27" cm="1">
        <f t="array" ref="X13">_xlfn.SWITCH($E$5,"Q4 2024",_xlfn.XLOOKUP($B13,$B$63:$B$68,X$63:X$68),
"Q3 2024",_xlfn.XLOOKUP($B13,$B$52:$B$57,X$52:X$57),
"Q2 2024",_xlfn.XLOOKUP($B13,$B$41:$B$46,X$41:X$46), "Q1 2024",_xlfn.XLOOKUP($B13,$B$30:$B$35,X$30:X$35))</f>
        <v>4000</v>
      </c>
      <c r="Y13" s="27" cm="1">
        <f t="array" ref="Y13">_xlfn.SWITCH($E$5,"Q4 2024",_xlfn.XLOOKUP($B13,$B$63:$B$68,Y$63:Y$68),
"Q3 2024",_xlfn.XLOOKUP($B13,$B$52:$B$57,Y$52:Y$57),
"Q2 2024",_xlfn.XLOOKUP($B13,$B$41:$B$46,Y$41:Y$46), "Q1 2024",_xlfn.XLOOKUP($B13,$B$30:$B$35,Y$30:Y$35))</f>
        <v>8000</v>
      </c>
      <c r="Z13" s="27" cm="1">
        <f t="array" ref="Z13">_xlfn.SWITCH($E$5,"Q4 2024",_xlfn.XLOOKUP($B13,$B$63:$B$68,Z$63:Z$68),
"Q3 2024",_xlfn.XLOOKUP($B13,$B$52:$B$57,Z$52:Z$57),
"Q2 2024",_xlfn.XLOOKUP($B13,$B$41:$B$46,Z$41:Z$46), "Q1 2024",_xlfn.XLOOKUP($B13,$B$30:$B$35,Z$30:Z$35))</f>
        <v>8000</v>
      </c>
      <c r="AA13" s="27" cm="1">
        <f t="array" ref="AA13">_xlfn.SWITCH($E$5,"Q4 2024",_xlfn.XLOOKUP($B13,$B$63:$B$68,AA$63:AA$68),
"Q3 2024",_xlfn.XLOOKUP($B13,$B$52:$B$57,AA$52:AA$57),
"Q2 2024",_xlfn.XLOOKUP($B13,$B$41:$B$46,AA$41:AA$46), "Q1 2024",_xlfn.XLOOKUP($B13,$B$30:$B$35,AA$30:AA$35))</f>
        <v>160</v>
      </c>
      <c r="AB13" s="27" cm="1">
        <f t="array" ref="AB13">_xlfn.SWITCH($E$5,"Q4 2024",_xlfn.XLOOKUP($B13,$B$63:$B$68,AB$63:AB$68),
"Q3 2024",_xlfn.XLOOKUP($B13,$B$52:$B$57,AB$52:AB$57),
"Q2 2024",_xlfn.XLOOKUP($B13,$B$41:$B$46,AB$41:AB$46), "Q1 2024",_xlfn.XLOOKUP($B13,$B$30:$B$35,AB$30:AB$35))</f>
        <v>470.59</v>
      </c>
      <c r="AC13" s="27" cm="1">
        <f t="array" ref="AC13">_xlfn.SWITCH($E$5,"Q4 2024",_xlfn.XLOOKUP($B13,$B$63:$B$68,AC$63:AC$68),
"Q3 2024",_xlfn.XLOOKUP($B13,$B$52:$B$57,AC$52:AC$57),
"Q2 2024",_xlfn.XLOOKUP($B13,$B$41:$B$46,AC$41:AC$46), "Q1 2024",_xlfn.XLOOKUP($B13,$B$30:$B$35,AC$30:AC$35))</f>
        <v>571.42999999999995</v>
      </c>
      <c r="AD13" s="27" cm="1">
        <f t="array" ref="AD13">_xlfn.SWITCH($E$5,"Q4 2024",_xlfn.XLOOKUP($B13,$B$63:$B$68,AD$63:AD$68),
"Q3 2024",_xlfn.XLOOKUP($B13,$B$52:$B$57,AD$52:AD$57),
"Q2 2024",_xlfn.XLOOKUP($B13,$B$41:$B$46,AD$41:AD$46), "Q1 2024",_xlfn.XLOOKUP($B13,$B$30:$B$35,AD$30:AD$35))</f>
        <v>350</v>
      </c>
      <c r="AE13" s="27" cm="1">
        <f t="array" ref="AE13">_xlfn.SWITCH($E$5,"Q4 2024",_xlfn.XLOOKUP($B13,$B$63:$B$68,AE$63:AE$68),
"Q3 2024",_xlfn.XLOOKUP($B13,$B$52:$B$57,AE$52:AE$57),
"Q2 2024",_xlfn.XLOOKUP($B13,$B$41:$B$46,AE$41:AE$46), "Q1 2024",_xlfn.XLOOKUP($B13,$B$30:$B$35,AE$30:AE$35))</f>
        <v>350</v>
      </c>
      <c r="AF13" s="27" cm="1">
        <f t="array" ref="AF13">_xlfn.SWITCH($E$5,"Q4 2024",_xlfn.XLOOKUP($B13,$B$63:$B$68,AF$63:AF$68),
"Q3 2024",_xlfn.XLOOKUP($B13,$B$52:$B$57,AF$52:AF$57),
"Q2 2024",_xlfn.XLOOKUP($B13,$B$41:$B$46,AF$41:AF$46), "Q1 2024",_xlfn.XLOOKUP($B13,$B$30:$B$35,AF$30:AF$35))</f>
        <v>300</v>
      </c>
      <c r="AG13" s="27" cm="1">
        <f t="array" ref="AG13">_xlfn.SWITCH($E$5,"Q4 2024",_xlfn.XLOOKUP($B13,$B$63:$B$68,AG$63:AG$68),
"Q3 2024",_xlfn.XLOOKUP($B13,$B$52:$B$57,AG$52:AG$57),
"Q2 2024",_xlfn.XLOOKUP($B13,$B$41:$B$46,AG$41:AG$46), "Q1 2024",_xlfn.XLOOKUP($B13,$B$30:$B$35,AG$30:AG$35))</f>
        <v>345</v>
      </c>
      <c r="AH13" s="27" cm="1">
        <f t="array" ref="AH13">_xlfn.SWITCH($E$5,"Q4 2024",_xlfn.XLOOKUP($B13,$B$63:$B$68,AH$63:AH$68),
"Q3 2024",_xlfn.XLOOKUP($B13,$B$52:$B$57,AH$52:AH$57),
"Q2 2024",_xlfn.XLOOKUP($B13,$B$41:$B$46,AH$41:AH$46), "Q1 2024",_xlfn.XLOOKUP($B13,$B$30:$B$35,AH$30:AH$35))</f>
        <v>405</v>
      </c>
      <c r="AI13" s="27" cm="1">
        <f t="array" ref="AI13">_xlfn.SWITCH($E$5,"Q4 2024",_xlfn.XLOOKUP($B13,$B$63:$B$68,AI$63:AI$68),
"Q3 2024",_xlfn.XLOOKUP($B13,$B$52:$B$57,AI$52:AI$57),
"Q2 2024",_xlfn.XLOOKUP($B13,$B$41:$B$46,AI$41:AI$46), "Q1 2024",_xlfn.XLOOKUP($B13,$B$30:$B$35,AI$30:AI$35))</f>
        <v>352</v>
      </c>
      <c r="AJ13" s="27" cm="1">
        <f t="array" ref="AJ13">_xlfn.SWITCH($E$5,"Q4 2024",_xlfn.XLOOKUP($B13,$B$63:$B$68,AJ$63:AJ$68),
"Q3 2024",_xlfn.XLOOKUP($B13,$B$52:$B$57,AJ$52:AJ$57),
"Q2 2024",_xlfn.XLOOKUP($B13,$B$41:$B$46,AJ$41:AJ$46), "Q1 2024",_xlfn.XLOOKUP($B13,$B$30:$B$35,AJ$30:AJ$35))</f>
        <v>2538.46</v>
      </c>
      <c r="AK13" s="27" cm="1">
        <f t="array" ref="AK13">_xlfn.SWITCH($E$5,"Q4 2024",_xlfn.XLOOKUP($B13,$B$63:$B$68,AK$63:AK$68),
"Q3 2024",_xlfn.XLOOKUP($B13,$B$52:$B$57,AK$52:AK$57),
"Q2 2024",_xlfn.XLOOKUP($B13,$B$41:$B$46,AK$41:AK$46), "Q1 2024",_xlfn.XLOOKUP($B13,$B$30:$B$35,AK$30:AK$35))</f>
        <v>1944.44</v>
      </c>
      <c r="AL13" s="27" cm="1">
        <f t="array" ref="AL13">_xlfn.SWITCH($E$5,"Q4 2024",_xlfn.XLOOKUP($B13,$B$63:$B$68,AL$63:AL$68),
"Q3 2024",_xlfn.XLOOKUP($B13,$B$52:$B$57,AL$52:AL$57),
"Q2 2024",_xlfn.XLOOKUP($B13,$B$41:$B$46,AL$41:AL$46), "Q1 2024",_xlfn.XLOOKUP($B13,$B$30:$B$35,AL$30:AL$35))</f>
        <v>1858.97</v>
      </c>
      <c r="AM13" s="27" cm="1">
        <f t="array" ref="AM13">_xlfn.SWITCH($E$5,"Q4 2024",_xlfn.XLOOKUP($B13,$B$63:$B$68,AM$63:AM$68),
"Q3 2024",_xlfn.XLOOKUP($B13,$B$52:$B$57,AM$52:AM$57),
"Q2 2024",_xlfn.XLOOKUP($B13,$B$41:$B$46,AM$41:AM$46), "Q1 2024",_xlfn.XLOOKUP($B13,$B$30:$B$35,AM$30:AM$35))</f>
        <v>2500</v>
      </c>
      <c r="AN13" s="27" cm="1">
        <f t="array" ref="AN13">_xlfn.SWITCH($E$5,"Q4 2024",_xlfn.XLOOKUP($B13,$B$63:$B$68,AN$63:AN$68),
"Q3 2024",_xlfn.XLOOKUP($B13,$B$52:$B$57,AN$52:AN$57),
"Q2 2024",_xlfn.XLOOKUP($B13,$B$41:$B$46,AN$41:AN$46), "Q1 2024",_xlfn.XLOOKUP($B13,$B$30:$B$35,AN$30:AN$35))</f>
        <v>2500</v>
      </c>
      <c r="AO13" s="27" cm="1">
        <f t="array" ref="AO13">_xlfn.SWITCH($E$5,"Q4 2024",_xlfn.XLOOKUP($B13,$B$63:$B$68,AO$63:AO$68),
"Q3 2024",_xlfn.XLOOKUP($B13,$B$52:$B$57,AO$52:AO$57),
"Q2 2024",_xlfn.XLOOKUP($B13,$B$41:$B$46,AO$41:AO$46), "Q1 2024",_xlfn.XLOOKUP($B13,$B$30:$B$35,AO$30:AO$35))</f>
        <v>2600</v>
      </c>
      <c r="AP13" s="27" cm="1">
        <f t="array" ref="AP13">_xlfn.SWITCH($E$5,"Q4 2024",_xlfn.XLOOKUP($B13,$B$63:$B$68,AP$63:AP$68),
"Q3 2024",_xlfn.XLOOKUP($B13,$B$52:$B$57,AP$52:AP$57),
"Q2 2024",_xlfn.XLOOKUP($B13,$B$41:$B$46,AP$41:AP$46), "Q1 2024",_xlfn.XLOOKUP($B13,$B$30:$B$35,AP$30:AP$35))</f>
        <v>2450</v>
      </c>
      <c r="AQ13" s="27" cm="1">
        <f t="array" ref="AQ13">_xlfn.SWITCH($E$5,"Q4 2024",_xlfn.XLOOKUP($B13,$B$63:$B$68,AQ$63:AQ$68),
"Q3 2024",_xlfn.XLOOKUP($B13,$B$52:$B$57,AQ$52:AQ$57),
"Q2 2024",_xlfn.XLOOKUP($B13,$B$41:$B$46,AQ$41:AQ$46), "Q1 2024",_xlfn.XLOOKUP($B13,$B$30:$B$35,AQ$30:AQ$35))</f>
        <v>2700</v>
      </c>
      <c r="AR13" s="27" cm="1">
        <f t="array" ref="AR13">_xlfn.SWITCH($E$5,"Q4 2024",_xlfn.XLOOKUP($B13,$B$63:$B$68,AR$63:AR$68),
"Q3 2024",_xlfn.XLOOKUP($B13,$B$52:$B$57,AR$52:AR$57),
"Q2 2024",_xlfn.XLOOKUP($B13,$B$41:$B$46,AR$41:AR$46), "Q1 2024",_xlfn.XLOOKUP($B13,$B$30:$B$35,AR$30:AR$35))</f>
        <v>2350</v>
      </c>
    </row>
    <row r="14" spans="1:44" ht="14.25" customHeight="1" thickBot="1" x14ac:dyDescent="0.3">
      <c r="A14" s="25"/>
      <c r="B14" s="26" t="s">
        <v>28</v>
      </c>
      <c r="C14" s="27" cm="1">
        <f t="array" ref="C14">_xlfn.SWITCH($E$5,"Q4 2024",_xlfn.XLOOKUP($B14,$B$63:$B$68,C$63:C$68),
"Q3 2024",_xlfn.XLOOKUP($B14,$B$52:$B$57,C$52:C$57),
"Q2 2024",_xlfn.XLOOKUP($B14,$B$41:$B$46,C$41:C$46), "Q1 2024",_xlfn.XLOOKUP($B14,$B$30:$B$35,C$30:C$35))</f>
        <v>125000</v>
      </c>
      <c r="D14" s="27" cm="1">
        <f t="array" ref="D14">_xlfn.SWITCH($E$5,"Q4 2024",_xlfn.XLOOKUP($B14,$B$63:$B$68,D$63:D$68),
"Q3 2024",_xlfn.XLOOKUP($B14,$B$52:$B$57,D$52:D$57),
"Q2 2024",_xlfn.XLOOKUP($B14,$B$41:$B$46,D$41:D$46), "Q1 2024",_xlfn.XLOOKUP($B14,$B$30:$B$35,D$30:D$35))</f>
        <v>155000</v>
      </c>
      <c r="E14" s="27" cm="1">
        <f t="array" ref="E14">_xlfn.SWITCH($E$5,"Q4 2024",_xlfn.XLOOKUP($B14,$B$63:$B$68,E$63:E$68),
"Q3 2024",_xlfn.XLOOKUP($B14,$B$52:$B$57,E$52:E$57),
"Q2 2024",_xlfn.XLOOKUP($B14,$B$41:$B$46,E$41:E$46), "Q1 2024",_xlfn.XLOOKUP($B14,$B$30:$B$35,E$30:E$35))</f>
        <v>155000</v>
      </c>
      <c r="F14" s="27" cm="1">
        <f t="array" ref="F14">_xlfn.SWITCH($E$5,"Q4 2024",_xlfn.XLOOKUP($B14,$B$63:$B$68,F$63:F$68),
"Q3 2024",_xlfn.XLOOKUP($B14,$B$52:$B$57,F$52:F$57),
"Q2 2024",_xlfn.XLOOKUP($B14,$B$41:$B$46,F$41:F$46), "Q1 2024",_xlfn.XLOOKUP($B14,$B$30:$B$35,F$30:F$35))</f>
        <v>165000</v>
      </c>
      <c r="G14" s="27" cm="1">
        <f t="array" ref="G14">_xlfn.SWITCH($E$5,"Q4 2024",_xlfn.XLOOKUP($B14,$B$63:$B$68,G$63:G$68),
"Q3 2024",_xlfn.XLOOKUP($B14,$B$52:$B$57,G$52:G$57),
"Q2 2024",_xlfn.XLOOKUP($B14,$B$41:$B$46,G$41:G$46), "Q1 2024",_xlfn.XLOOKUP($B14,$B$30:$B$35,G$30:G$35))</f>
        <v>155000</v>
      </c>
      <c r="H14" s="27" cm="1">
        <f t="array" ref="H14">_xlfn.SWITCH($E$5,"Q4 2024",_xlfn.XLOOKUP($B14,$B$63:$B$68,H$63:H$68),
"Q3 2024",_xlfn.XLOOKUP($B14,$B$52:$B$57,H$52:H$57),
"Q2 2024",_xlfn.XLOOKUP($B14,$B$41:$B$46,H$41:H$46), "Q1 2024",_xlfn.XLOOKUP($B14,$B$30:$B$35,H$30:H$35))</f>
        <v>145000</v>
      </c>
      <c r="I14" s="27" cm="1">
        <f t="array" ref="I14">_xlfn.SWITCH($E$5,"Q4 2024",_xlfn.XLOOKUP($B14,$B$63:$B$68,I$63:I$68),
"Q3 2024",_xlfn.XLOOKUP($B14,$B$52:$B$57,I$52:I$57),
"Q2 2024",_xlfn.XLOOKUP($B14,$B$41:$B$46,I$41:I$46), "Q1 2024",_xlfn.XLOOKUP($B14,$B$30:$B$35,I$30:I$35))</f>
        <v>150000</v>
      </c>
      <c r="J14" s="27" cm="1">
        <f t="array" ref="J14">_xlfn.SWITCH($E$5,"Q4 2024",_xlfn.XLOOKUP($B14,$B$63:$B$68,J$63:J$68),
"Q3 2024",_xlfn.XLOOKUP($B14,$B$52:$B$57,J$52:J$57),
"Q2 2024",_xlfn.XLOOKUP($B14,$B$41:$B$46,J$41:J$46), "Q1 2024",_xlfn.XLOOKUP($B14,$B$30:$B$35,J$30:J$35))</f>
        <v>145000</v>
      </c>
      <c r="K14" s="27" cm="1">
        <f t="array" ref="K14">_xlfn.SWITCH($E$5,"Q4 2024",_xlfn.XLOOKUP($B14,$B$63:$B$68,K$63:K$68),
"Q3 2024",_xlfn.XLOOKUP($B14,$B$52:$B$57,K$52:K$57),
"Q2 2024",_xlfn.XLOOKUP($B14,$B$41:$B$46,K$41:K$46), "Q1 2024",_xlfn.XLOOKUP($B14,$B$30:$B$35,K$30:K$35))</f>
        <v>125000</v>
      </c>
      <c r="L14" s="27" cm="1">
        <f t="array" ref="L14">_xlfn.SWITCH($E$5,"Q4 2024",_xlfn.XLOOKUP($B14,$B$63:$B$68,L$63:L$68),
"Q3 2024",_xlfn.XLOOKUP($B14,$B$52:$B$57,L$52:L$57),
"Q2 2024",_xlfn.XLOOKUP($B14,$B$41:$B$46,L$41:L$46), "Q1 2024",_xlfn.XLOOKUP($B14,$B$30:$B$35,L$30:L$35))</f>
        <v>65</v>
      </c>
      <c r="M14" s="27" cm="1">
        <f t="array" ref="M14">_xlfn.SWITCH($E$5,"Q4 2024",_xlfn.XLOOKUP($B14,$B$63:$B$68,M$63:M$68),
"Q3 2024",_xlfn.XLOOKUP($B14,$B$52:$B$57,M$52:M$57),
"Q2 2024",_xlfn.XLOOKUP($B14,$B$41:$B$46,M$41:M$46), "Q1 2024",_xlfn.XLOOKUP($B14,$B$30:$B$35,M$30:M$35))</f>
        <v>70</v>
      </c>
      <c r="N14" s="27" cm="1">
        <f t="array" ref="N14">_xlfn.SWITCH($E$5,"Q4 2024",_xlfn.XLOOKUP($B14,$B$63:$B$68,N$63:N$68),
"Q3 2024",_xlfn.XLOOKUP($B14,$B$52:$B$57,N$52:N$57),
"Q2 2024",_xlfn.XLOOKUP($B14,$B$41:$B$46,N$41:N$46), "Q1 2024",_xlfn.XLOOKUP($B14,$B$30:$B$35,N$30:N$35))</f>
        <v>85</v>
      </c>
      <c r="O14" s="27" cm="1">
        <f t="array" ref="O14">_xlfn.SWITCH($E$5,"Q4 2024",_xlfn.XLOOKUP($B14,$B$63:$B$68,O$63:O$68),
"Q3 2024",_xlfn.XLOOKUP($B14,$B$52:$B$57,O$52:O$57),
"Q2 2024",_xlfn.XLOOKUP($B14,$B$41:$B$46,O$41:O$46), "Q1 2024",_xlfn.XLOOKUP($B14,$B$30:$B$35,O$30:O$35))</f>
        <v>20</v>
      </c>
      <c r="P14" s="27" cm="1">
        <f t="array" ref="P14">_xlfn.SWITCH($E$5,"Q4 2024",_xlfn.XLOOKUP($B14,$B$63:$B$68,P$63:P$68),
"Q3 2024",_xlfn.XLOOKUP($B14,$B$52:$B$57,P$52:P$57),
"Q2 2024",_xlfn.XLOOKUP($B14,$B$41:$B$46,P$41:P$46), "Q1 2024",_xlfn.XLOOKUP($B14,$B$30:$B$35,P$30:P$35))</f>
        <v>20</v>
      </c>
      <c r="Q14" s="27" cm="1">
        <f t="array" ref="Q14">_xlfn.SWITCH($E$5,"Q4 2024",_xlfn.XLOOKUP($B14,$B$63:$B$68,Q$63:Q$68),
"Q3 2024",_xlfn.XLOOKUP($B14,$B$52:$B$57,Q$52:Q$57),
"Q2 2024",_xlfn.XLOOKUP($B14,$B$41:$B$46,Q$41:Q$46), "Q1 2024",_xlfn.XLOOKUP($B14,$B$30:$B$35,Q$30:Q$35))</f>
        <v>20</v>
      </c>
      <c r="R14" s="27" cm="1">
        <f t="array" ref="R14">_xlfn.SWITCH($E$5,"Q4 2024",_xlfn.XLOOKUP($B14,$B$63:$B$68,R$63:R$68),
"Q3 2024",_xlfn.XLOOKUP($B14,$B$52:$B$57,R$52:R$57),
"Q2 2024",_xlfn.XLOOKUP($B14,$B$41:$B$46,R$41:R$46), "Q1 2024",_xlfn.XLOOKUP($B14,$B$30:$B$35,R$30:R$35))</f>
        <v>19</v>
      </c>
      <c r="S14" s="27" cm="1">
        <f t="array" ref="S14">_xlfn.SWITCH($E$5,"Q4 2024",_xlfn.XLOOKUP($B14,$B$63:$B$68,S$63:S$68),
"Q3 2024",_xlfn.XLOOKUP($B14,$B$52:$B$57,S$52:S$57),
"Q2 2024",_xlfn.XLOOKUP($B14,$B$41:$B$46,S$41:S$46), "Q1 2024",_xlfn.XLOOKUP($B14,$B$30:$B$35,S$30:S$35))</f>
        <v>15</v>
      </c>
      <c r="T14" s="27" cm="1">
        <f t="array" ref="T14">_xlfn.SWITCH($E$5,"Q4 2024",_xlfn.XLOOKUP($B14,$B$63:$B$68,T$63:T$68),
"Q3 2024",_xlfn.XLOOKUP($B14,$B$52:$B$57,T$52:T$57),
"Q2 2024",_xlfn.XLOOKUP($B14,$B$41:$B$46,T$41:T$46), "Q1 2024",_xlfn.XLOOKUP($B14,$B$30:$B$35,T$30:T$35))</f>
        <v>21</v>
      </c>
      <c r="U14" s="27" cm="1">
        <f t="array" ref="U14">_xlfn.SWITCH($E$5,"Q4 2024",_xlfn.XLOOKUP($B14,$B$63:$B$68,U$63:U$68),
"Q3 2024",_xlfn.XLOOKUP($B14,$B$52:$B$57,U$52:U$57),
"Q2 2024",_xlfn.XLOOKUP($B14,$B$41:$B$46,U$41:U$46), "Q1 2024",_xlfn.XLOOKUP($B14,$B$30:$B$35,U$30:U$35))</f>
        <v>22</v>
      </c>
      <c r="V14" s="27" cm="1">
        <f t="array" ref="V14">_xlfn.SWITCH($E$5,"Q4 2024",_xlfn.XLOOKUP($B14,$B$63:$B$68,V$63:V$68),
"Q3 2024",_xlfn.XLOOKUP($B14,$B$52:$B$57,V$52:V$57),
"Q2 2024",_xlfn.XLOOKUP($B14,$B$41:$B$46,V$41:V$46), "Q1 2024",_xlfn.XLOOKUP($B14,$B$30:$B$35,V$30:V$35))</f>
        <v>20</v>
      </c>
      <c r="W14" s="27" cm="1">
        <f t="array" ref="W14">_xlfn.SWITCH($E$5,"Q4 2024",_xlfn.XLOOKUP($B14,$B$63:$B$68,W$63:W$68),
"Q3 2024",_xlfn.XLOOKUP($B14,$B$52:$B$57,W$52:W$57),
"Q2 2024",_xlfn.XLOOKUP($B14,$B$41:$B$46,W$41:W$46), "Q1 2024",_xlfn.XLOOKUP($B14,$B$30:$B$35,W$30:W$35))</f>
        <v>17</v>
      </c>
      <c r="X14" s="27" cm="1">
        <f t="array" ref="X14">_xlfn.SWITCH($E$5,"Q4 2024",_xlfn.XLOOKUP($B14,$B$63:$B$68,X$63:X$68),
"Q3 2024",_xlfn.XLOOKUP($B14,$B$52:$B$57,X$52:X$57),
"Q2 2024",_xlfn.XLOOKUP($B14,$B$41:$B$46,X$41:X$46), "Q1 2024",_xlfn.XLOOKUP($B14,$B$30:$B$35,X$30:X$35))</f>
        <v>9000</v>
      </c>
      <c r="Y14" s="27" cm="1">
        <f t="array" ref="Y14">_xlfn.SWITCH($E$5,"Q4 2024",_xlfn.XLOOKUP($B14,$B$63:$B$68,Y$63:Y$68),
"Q3 2024",_xlfn.XLOOKUP($B14,$B$52:$B$57,Y$52:Y$57),
"Q2 2024",_xlfn.XLOOKUP($B14,$B$41:$B$46,Y$41:Y$46), "Q1 2024",_xlfn.XLOOKUP($B14,$B$30:$B$35,Y$30:Y$35))</f>
        <v>8500</v>
      </c>
      <c r="Z14" s="27" cm="1">
        <f t="array" ref="Z14">_xlfn.SWITCH($E$5,"Q4 2024",_xlfn.XLOOKUP($B14,$B$63:$B$68,Z$63:Z$68),
"Q3 2024",_xlfn.XLOOKUP($B14,$B$52:$B$57,Z$52:Z$57),
"Q2 2024",_xlfn.XLOOKUP($B14,$B$41:$B$46,Z$41:Z$46), "Q1 2024",_xlfn.XLOOKUP($B14,$B$30:$B$35,Z$30:Z$35))</f>
        <v>7000</v>
      </c>
      <c r="AA14" s="27" cm="1">
        <f t="array" ref="AA14">_xlfn.SWITCH($E$5,"Q4 2024",_xlfn.XLOOKUP($B14,$B$63:$B$68,AA$63:AA$68),
"Q3 2024",_xlfn.XLOOKUP($B14,$B$52:$B$57,AA$52:AA$57),
"Q2 2024",_xlfn.XLOOKUP($B14,$B$41:$B$46,AA$41:AA$46), "Q1 2024",_xlfn.XLOOKUP($B14,$B$30:$B$35,AA$30:AA$35))</f>
        <v>473.68</v>
      </c>
      <c r="AB14" s="27" cm="1">
        <f t="array" ref="AB14">_xlfn.SWITCH($E$5,"Q4 2024",_xlfn.XLOOKUP($B14,$B$63:$B$68,AB$63:AB$68),
"Q3 2024",_xlfn.XLOOKUP($B14,$B$52:$B$57,AB$52:AB$57),
"Q2 2024",_xlfn.XLOOKUP($B14,$B$41:$B$46,AB$41:AB$46), "Q1 2024",_xlfn.XLOOKUP($B14,$B$30:$B$35,AB$30:AB$35))</f>
        <v>566.66999999999996</v>
      </c>
      <c r="AC14" s="27" cm="1">
        <f t="array" ref="AC14">_xlfn.SWITCH($E$5,"Q4 2024",_xlfn.XLOOKUP($B14,$B$63:$B$68,AC$63:AC$68),
"Q3 2024",_xlfn.XLOOKUP($B14,$B$52:$B$57,AC$52:AC$57),
"Q2 2024",_xlfn.XLOOKUP($B14,$B$41:$B$46,AC$41:AC$46), "Q1 2024",_xlfn.XLOOKUP($B14,$B$30:$B$35,AC$30:AC$35))</f>
        <v>333.33</v>
      </c>
      <c r="AD14" s="27" cm="1">
        <f t="array" ref="AD14">_xlfn.SWITCH($E$5,"Q4 2024",_xlfn.XLOOKUP($B14,$B$63:$B$68,AD$63:AD$68),
"Q3 2024",_xlfn.XLOOKUP($B14,$B$52:$B$57,AD$52:AD$57),
"Q2 2024",_xlfn.XLOOKUP($B14,$B$41:$B$46,AD$41:AD$46), "Q1 2024",_xlfn.XLOOKUP($B14,$B$30:$B$35,AD$30:AD$35))</f>
        <v>350</v>
      </c>
      <c r="AE14" s="27" cm="1">
        <f t="array" ref="AE14">_xlfn.SWITCH($E$5,"Q4 2024",_xlfn.XLOOKUP($B14,$B$63:$B$68,AE$63:AE$68),
"Q3 2024",_xlfn.XLOOKUP($B14,$B$52:$B$57,AE$52:AE$57),
"Q2 2024",_xlfn.XLOOKUP($B14,$B$41:$B$46,AE$41:AE$46), "Q1 2024",_xlfn.XLOOKUP($B14,$B$30:$B$35,AE$30:AE$35))</f>
        <v>350</v>
      </c>
      <c r="AF14" s="27" cm="1">
        <f t="array" ref="AF14">_xlfn.SWITCH($E$5,"Q4 2024",_xlfn.XLOOKUP($B14,$B$63:$B$68,AF$63:AF$68),
"Q3 2024",_xlfn.XLOOKUP($B14,$B$52:$B$57,AF$52:AF$57),
"Q2 2024",_xlfn.XLOOKUP($B14,$B$41:$B$46,AF$41:AF$46), "Q1 2024",_xlfn.XLOOKUP($B14,$B$30:$B$35,AF$30:AF$35))</f>
        <v>300</v>
      </c>
      <c r="AG14" s="27" cm="1">
        <f t="array" ref="AG14">_xlfn.SWITCH($E$5,"Q4 2024",_xlfn.XLOOKUP($B14,$B$63:$B$68,AG$63:AG$68),
"Q3 2024",_xlfn.XLOOKUP($B14,$B$52:$B$57,AG$52:AG$57),
"Q2 2024",_xlfn.XLOOKUP($B14,$B$41:$B$46,AG$41:AG$46), "Q1 2024",_xlfn.XLOOKUP($B14,$B$30:$B$35,AG$30:AG$35))</f>
        <v>350</v>
      </c>
      <c r="AH14" s="27" cm="1">
        <f t="array" ref="AH14">_xlfn.SWITCH($E$5,"Q4 2024",_xlfn.XLOOKUP($B14,$B$63:$B$68,AH$63:AH$68),
"Q3 2024",_xlfn.XLOOKUP($B14,$B$52:$B$57,AH$52:AH$57),
"Q2 2024",_xlfn.XLOOKUP($B14,$B$41:$B$46,AH$41:AH$46), "Q1 2024",_xlfn.XLOOKUP($B14,$B$30:$B$35,AH$30:AH$35))</f>
        <v>400</v>
      </c>
      <c r="AI14" s="27" cm="1">
        <f t="array" ref="AI14">_xlfn.SWITCH($E$5,"Q4 2024",_xlfn.XLOOKUP($B14,$B$63:$B$68,AI$63:AI$68),
"Q3 2024",_xlfn.XLOOKUP($B14,$B$52:$B$57,AI$52:AI$57),
"Q2 2024",_xlfn.XLOOKUP($B14,$B$41:$B$46,AI$41:AI$46), "Q1 2024",_xlfn.XLOOKUP($B14,$B$30:$B$35,AI$30:AI$35))</f>
        <v>388</v>
      </c>
      <c r="AJ14" s="27" cm="1">
        <f t="array" ref="AJ14">_xlfn.SWITCH($E$5,"Q4 2024",_xlfn.XLOOKUP($B14,$B$63:$B$68,AJ$63:AJ$68),
"Q3 2024",_xlfn.XLOOKUP($B14,$B$52:$B$57,AJ$52:AJ$57),
"Q2 2024",_xlfn.XLOOKUP($B14,$B$41:$B$46,AJ$41:AJ$46), "Q1 2024",_xlfn.XLOOKUP($B14,$B$30:$B$35,AJ$30:AJ$35))</f>
        <v>1923.08</v>
      </c>
      <c r="AK14" s="27" cm="1">
        <f t="array" ref="AK14">_xlfn.SWITCH($E$5,"Q4 2024",_xlfn.XLOOKUP($B14,$B$63:$B$68,AK$63:AK$68),
"Q3 2024",_xlfn.XLOOKUP($B14,$B$52:$B$57,AK$52:AK$57),
"Q2 2024",_xlfn.XLOOKUP($B14,$B$41:$B$46,AK$41:AK$46), "Q1 2024",_xlfn.XLOOKUP($B14,$B$30:$B$35,AK$30:AK$35))</f>
        <v>2214.29</v>
      </c>
      <c r="AL14" s="27" cm="1">
        <f t="array" ref="AL14">_xlfn.SWITCH($E$5,"Q4 2024",_xlfn.XLOOKUP($B14,$B$63:$B$68,AL$63:AL$68),
"Q3 2024",_xlfn.XLOOKUP($B14,$B$52:$B$57,AL$52:AL$57),
"Q2 2024",_xlfn.XLOOKUP($B14,$B$41:$B$46,AL$41:AL$46), "Q1 2024",_xlfn.XLOOKUP($B14,$B$30:$B$35,AL$30:AL$35))</f>
        <v>1823.53</v>
      </c>
      <c r="AM14" s="27" cm="1">
        <f t="array" ref="AM14">_xlfn.SWITCH($E$5,"Q4 2024",_xlfn.XLOOKUP($B14,$B$63:$B$68,AM$63:AM$68),
"Q3 2024",_xlfn.XLOOKUP($B14,$B$52:$B$57,AM$52:AM$57),
"Q2 2024",_xlfn.XLOOKUP($B14,$B$41:$B$46,AM$41:AM$46), "Q1 2024",_xlfn.XLOOKUP($B14,$B$30:$B$35,AM$30:AM$35))</f>
        <v>2100</v>
      </c>
      <c r="AN14" s="27" cm="1">
        <f t="array" ref="AN14">_xlfn.SWITCH($E$5,"Q4 2024",_xlfn.XLOOKUP($B14,$B$63:$B$68,AN$63:AN$68),
"Q3 2024",_xlfn.XLOOKUP($B14,$B$52:$B$57,AN$52:AN$57),
"Q2 2024",_xlfn.XLOOKUP($B14,$B$41:$B$46,AN$41:AN$46), "Q1 2024",_xlfn.XLOOKUP($B14,$B$30:$B$35,AN$30:AN$35))</f>
        <v>2400</v>
      </c>
      <c r="AO14" s="27" cm="1">
        <f t="array" ref="AO14">_xlfn.SWITCH($E$5,"Q4 2024",_xlfn.XLOOKUP($B14,$B$63:$B$68,AO$63:AO$68),
"Q3 2024",_xlfn.XLOOKUP($B14,$B$52:$B$57,AO$52:AO$57),
"Q2 2024",_xlfn.XLOOKUP($B14,$B$41:$B$46,AO$41:AO$46), "Q1 2024",_xlfn.XLOOKUP($B14,$B$30:$B$35,AO$30:AO$35))</f>
        <v>2400</v>
      </c>
      <c r="AP14" s="27" cm="1">
        <f t="array" ref="AP14">_xlfn.SWITCH($E$5,"Q4 2024",_xlfn.XLOOKUP($B14,$B$63:$B$68,AP$63:AP$68),
"Q3 2024",_xlfn.XLOOKUP($B14,$B$52:$B$57,AP$52:AP$57),
"Q2 2024",_xlfn.XLOOKUP($B14,$B$41:$B$46,AP$41:AP$46), "Q1 2024",_xlfn.XLOOKUP($B14,$B$30:$B$35,AP$30:AP$35))</f>
        <v>2450</v>
      </c>
      <c r="AQ14" s="27" cm="1">
        <f t="array" ref="AQ14">_xlfn.SWITCH($E$5,"Q4 2024",_xlfn.XLOOKUP($B14,$B$63:$B$68,AQ$63:AQ$68),
"Q3 2024",_xlfn.XLOOKUP($B14,$B$52:$B$57,AQ$52:AQ$57),
"Q2 2024",_xlfn.XLOOKUP($B14,$B$41:$B$46,AQ$41:AQ$46), "Q1 2024",_xlfn.XLOOKUP($B14,$B$30:$B$35,AQ$30:AQ$35))</f>
        <v>2700</v>
      </c>
      <c r="AR14" s="27" cm="1">
        <f t="array" ref="AR14">_xlfn.SWITCH($E$5,"Q4 2024",_xlfn.XLOOKUP($B14,$B$63:$B$68,AR$63:AR$68),
"Q3 2024",_xlfn.XLOOKUP($B14,$B$52:$B$57,AR$52:AR$57),
"Q2 2024",_xlfn.XLOOKUP($B14,$B$41:$B$46,AR$41:AR$46), "Q1 2024",_xlfn.XLOOKUP($B14,$B$30:$B$35,AR$30:AR$35))</f>
        <v>2350</v>
      </c>
    </row>
    <row r="15" spans="1:44" ht="14.25" customHeight="1" thickBot="1" x14ac:dyDescent="0.3">
      <c r="A15" s="25"/>
      <c r="B15" s="26" t="s">
        <v>29</v>
      </c>
      <c r="C15" s="27" cm="1">
        <f t="array" ref="C15">_xlfn.SWITCH($E$5,"Q4 2024",_xlfn.XLOOKUP($B15,$B$63:$B$68,C$63:C$68),
"Q3 2024",_xlfn.XLOOKUP($B15,$B$52:$B$57,C$52:C$57),
"Q2 2024",_xlfn.XLOOKUP($B15,$B$41:$B$46,C$41:C$46), "Q1 2024",_xlfn.XLOOKUP($B15,$B$30:$B$35,C$30:C$35))</f>
        <v>150000</v>
      </c>
      <c r="D15" s="27" cm="1">
        <f t="array" ref="D15">_xlfn.SWITCH($E$5,"Q4 2024",_xlfn.XLOOKUP($B15,$B$63:$B$68,D$63:D$68),
"Q3 2024",_xlfn.XLOOKUP($B15,$B$52:$B$57,D$52:D$57),
"Q2 2024",_xlfn.XLOOKUP($B15,$B$41:$B$46,D$41:D$46), "Q1 2024",_xlfn.XLOOKUP($B15,$B$30:$B$35,D$30:D$35))</f>
        <v>130000</v>
      </c>
      <c r="E15" s="27" cm="1">
        <f t="array" ref="E15">_xlfn.SWITCH($E$5,"Q4 2024",_xlfn.XLOOKUP($B15,$B$63:$B$68,E$63:E$68),
"Q3 2024",_xlfn.XLOOKUP($B15,$B$52:$B$57,E$52:E$57),
"Q2 2024",_xlfn.XLOOKUP($B15,$B$41:$B$46,E$41:E$46), "Q1 2024",_xlfn.XLOOKUP($B15,$B$30:$B$35,E$30:E$35))</f>
        <v>150000</v>
      </c>
      <c r="F15" s="27" cm="1">
        <f t="array" ref="F15">_xlfn.SWITCH($E$5,"Q4 2024",_xlfn.XLOOKUP($B15,$B$63:$B$68,F$63:F$68),
"Q3 2024",_xlfn.XLOOKUP($B15,$B$52:$B$57,F$52:F$57),
"Q2 2024",_xlfn.XLOOKUP($B15,$B$41:$B$46,F$41:F$46), "Q1 2024",_xlfn.XLOOKUP($B15,$B$30:$B$35,F$30:F$35))</f>
        <v>165000</v>
      </c>
      <c r="G15" s="27" cm="1">
        <f t="array" ref="G15">_xlfn.SWITCH($E$5,"Q4 2024",_xlfn.XLOOKUP($B15,$B$63:$B$68,G$63:G$68),
"Q3 2024",_xlfn.XLOOKUP($B15,$B$52:$B$57,G$52:G$57),
"Q2 2024",_xlfn.XLOOKUP($B15,$B$41:$B$46,G$41:G$46), "Q1 2024",_xlfn.XLOOKUP($B15,$B$30:$B$35,G$30:G$35))</f>
        <v>155000</v>
      </c>
      <c r="H15" s="27" cm="1">
        <f t="array" ref="H15">_xlfn.SWITCH($E$5,"Q4 2024",_xlfn.XLOOKUP($B15,$B$63:$B$68,H$63:H$68),
"Q3 2024",_xlfn.XLOOKUP($B15,$B$52:$B$57,H$52:H$57),
"Q2 2024",_xlfn.XLOOKUP($B15,$B$41:$B$46,H$41:H$46), "Q1 2024",_xlfn.XLOOKUP($B15,$B$30:$B$35,H$30:H$35))</f>
        <v>145000</v>
      </c>
      <c r="I15" s="27" cm="1">
        <f t="array" ref="I15">_xlfn.SWITCH($E$5,"Q4 2024",_xlfn.XLOOKUP($B15,$B$63:$B$68,I$63:I$68),
"Q3 2024",_xlfn.XLOOKUP($B15,$B$52:$B$57,I$52:I$57),
"Q2 2024",_xlfn.XLOOKUP($B15,$B$41:$B$46,I$41:I$46), "Q1 2024",_xlfn.XLOOKUP($B15,$B$30:$B$35,I$30:I$35))</f>
        <v>170000</v>
      </c>
      <c r="J15" s="27" cm="1">
        <f t="array" ref="J15">_xlfn.SWITCH($E$5,"Q4 2024",_xlfn.XLOOKUP($B15,$B$63:$B$68,J$63:J$68),
"Q3 2024",_xlfn.XLOOKUP($B15,$B$52:$B$57,J$52:J$57),
"Q2 2024",_xlfn.XLOOKUP($B15,$B$41:$B$46,J$41:J$46), "Q1 2024",_xlfn.XLOOKUP($B15,$B$30:$B$35,J$30:J$35))</f>
        <v>155000</v>
      </c>
      <c r="K15" s="27" cm="1">
        <f t="array" ref="K15">_xlfn.SWITCH($E$5,"Q4 2024",_xlfn.XLOOKUP($B15,$B$63:$B$68,K$63:K$68),
"Q3 2024",_xlfn.XLOOKUP($B15,$B$52:$B$57,K$52:K$57),
"Q2 2024",_xlfn.XLOOKUP($B15,$B$41:$B$46,K$41:K$46), "Q1 2024",_xlfn.XLOOKUP($B15,$B$30:$B$35,K$30:K$35))</f>
        <v>130000</v>
      </c>
      <c r="L15" s="27" cm="1">
        <f t="array" ref="L15">_xlfn.SWITCH($E$5,"Q4 2024",_xlfn.XLOOKUP($B15,$B$63:$B$68,L$63:L$68),
"Q3 2024",_xlfn.XLOOKUP($B15,$B$52:$B$57,L$52:L$57),
"Q2 2024",_xlfn.XLOOKUP($B15,$B$41:$B$46,L$41:L$46), "Q1 2024",_xlfn.XLOOKUP($B15,$B$30:$B$35,L$30:L$35))</f>
        <v>75</v>
      </c>
      <c r="M15" s="27" cm="1">
        <f t="array" ref="M15">_xlfn.SWITCH($E$5,"Q4 2024",_xlfn.XLOOKUP($B15,$B$63:$B$68,M$63:M$68),
"Q3 2024",_xlfn.XLOOKUP($B15,$B$52:$B$57,M$52:M$57),
"Q2 2024",_xlfn.XLOOKUP($B15,$B$41:$B$46,M$41:M$46), "Q1 2024",_xlfn.XLOOKUP($B15,$B$30:$B$35,M$30:M$35))</f>
        <v>63</v>
      </c>
      <c r="N15" s="27" cm="1">
        <f t="array" ref="N15">_xlfn.SWITCH($E$5,"Q4 2024",_xlfn.XLOOKUP($B15,$B$63:$B$68,N$63:N$68),
"Q3 2024",_xlfn.XLOOKUP($B15,$B$52:$B$57,N$52:N$57),
"Q2 2024",_xlfn.XLOOKUP($B15,$B$41:$B$46,N$41:N$46), "Q1 2024",_xlfn.XLOOKUP($B15,$B$30:$B$35,N$30:N$35))</f>
        <v>80</v>
      </c>
      <c r="O15" s="27" cm="1">
        <f t="array" ref="O15">_xlfn.SWITCH($E$5,"Q4 2024",_xlfn.XLOOKUP($B15,$B$63:$B$68,O$63:O$68),
"Q3 2024",_xlfn.XLOOKUP($B15,$B$52:$B$57,O$52:O$57),
"Q2 2024",_xlfn.XLOOKUP($B15,$B$41:$B$46,O$41:O$46), "Q1 2024",_xlfn.XLOOKUP($B15,$B$30:$B$35,O$30:O$35))</f>
        <v>20</v>
      </c>
      <c r="P15" s="27" cm="1">
        <f t="array" ref="P15">_xlfn.SWITCH($E$5,"Q4 2024",_xlfn.XLOOKUP($B15,$B$63:$B$68,P$63:P$68),
"Q3 2024",_xlfn.XLOOKUP($B15,$B$52:$B$57,P$52:P$57),
"Q2 2024",_xlfn.XLOOKUP($B15,$B$41:$B$46,P$41:P$46), "Q1 2024",_xlfn.XLOOKUP($B15,$B$30:$B$35,P$30:P$35))</f>
        <v>20</v>
      </c>
      <c r="Q15" s="27" cm="1">
        <f t="array" ref="Q15">_xlfn.SWITCH($E$5,"Q4 2024",_xlfn.XLOOKUP($B15,$B$63:$B$68,Q$63:Q$68),
"Q3 2024",_xlfn.XLOOKUP($B15,$B$52:$B$57,Q$52:Q$57),
"Q2 2024",_xlfn.XLOOKUP($B15,$B$41:$B$46,Q$41:Q$46), "Q1 2024",_xlfn.XLOOKUP($B15,$B$30:$B$35,Q$30:Q$35))</f>
        <v>20</v>
      </c>
      <c r="R15" s="27" cm="1">
        <f t="array" ref="R15">_xlfn.SWITCH($E$5,"Q4 2024",_xlfn.XLOOKUP($B15,$B$63:$B$68,R$63:R$68),
"Q3 2024",_xlfn.XLOOKUP($B15,$B$52:$B$57,R$52:R$57),
"Q2 2024",_xlfn.XLOOKUP($B15,$B$41:$B$46,R$41:R$46), "Q1 2024",_xlfn.XLOOKUP($B15,$B$30:$B$35,R$30:R$35))</f>
        <v>24</v>
      </c>
      <c r="S15" s="27" cm="1">
        <f t="array" ref="S15">_xlfn.SWITCH($E$5,"Q4 2024",_xlfn.XLOOKUP($B15,$B$63:$B$68,S$63:S$68),
"Q3 2024",_xlfn.XLOOKUP($B15,$B$52:$B$57,S$52:S$57),
"Q2 2024",_xlfn.XLOOKUP($B15,$B$41:$B$46,S$41:S$46), "Q1 2024",_xlfn.XLOOKUP($B15,$B$30:$B$35,S$30:S$35))</f>
        <v>15</v>
      </c>
      <c r="T15" s="27" cm="1">
        <f t="array" ref="T15">_xlfn.SWITCH($E$5,"Q4 2024",_xlfn.XLOOKUP($B15,$B$63:$B$68,T$63:T$68),
"Q3 2024",_xlfn.XLOOKUP($B15,$B$52:$B$57,T$52:T$57),
"Q2 2024",_xlfn.XLOOKUP($B15,$B$41:$B$46,T$41:T$46), "Q1 2024",_xlfn.XLOOKUP($B15,$B$30:$B$35,T$30:T$35))</f>
        <v>30</v>
      </c>
      <c r="U15" s="27" cm="1">
        <f t="array" ref="U15">_xlfn.SWITCH($E$5,"Q4 2024",_xlfn.XLOOKUP($B15,$B$63:$B$68,U$63:U$68),
"Q3 2024",_xlfn.XLOOKUP($B15,$B$52:$B$57,U$52:U$57),
"Q2 2024",_xlfn.XLOOKUP($B15,$B$41:$B$46,U$41:U$46), "Q1 2024",_xlfn.XLOOKUP($B15,$B$30:$B$35,U$30:U$35))</f>
        <v>23</v>
      </c>
      <c r="V15" s="27" cm="1">
        <f t="array" ref="V15">_xlfn.SWITCH($E$5,"Q4 2024",_xlfn.XLOOKUP($B15,$B$63:$B$68,V$63:V$68),
"Q3 2024",_xlfn.XLOOKUP($B15,$B$52:$B$57,V$52:V$57),
"Q2 2024",_xlfn.XLOOKUP($B15,$B$41:$B$46,V$41:V$46), "Q1 2024",_xlfn.XLOOKUP($B15,$B$30:$B$35,V$30:V$35))</f>
        <v>24</v>
      </c>
      <c r="W15" s="27" cm="1">
        <f t="array" ref="W15">_xlfn.SWITCH($E$5,"Q4 2024",_xlfn.XLOOKUP($B15,$B$63:$B$68,W$63:W$68),
"Q3 2024",_xlfn.XLOOKUP($B15,$B$52:$B$57,W$52:W$57),
"Q2 2024",_xlfn.XLOOKUP($B15,$B$41:$B$46,W$41:W$46), "Q1 2024",_xlfn.XLOOKUP($B15,$B$30:$B$35,W$30:W$35))</f>
        <v>20</v>
      </c>
      <c r="X15" s="27" cm="1">
        <f t="array" ref="X15">_xlfn.SWITCH($E$5,"Q4 2024",_xlfn.XLOOKUP($B15,$B$63:$B$68,X$63:X$68),
"Q3 2024",_xlfn.XLOOKUP($B15,$B$52:$B$57,X$52:X$57),
"Q2 2024",_xlfn.XLOOKUP($B15,$B$41:$B$46,X$41:X$46), "Q1 2024",_xlfn.XLOOKUP($B15,$B$30:$B$35,X$30:X$35))</f>
        <v>9500</v>
      </c>
      <c r="Y15" s="27" cm="1">
        <f t="array" ref="Y15">_xlfn.SWITCH($E$5,"Q4 2024",_xlfn.XLOOKUP($B15,$B$63:$B$68,Y$63:Y$68),
"Q3 2024",_xlfn.XLOOKUP($B15,$B$52:$B$57,Y$52:Y$57),
"Q2 2024",_xlfn.XLOOKUP($B15,$B$41:$B$46,Y$41:Y$46), "Q1 2024",_xlfn.XLOOKUP($B15,$B$30:$B$35,Y$30:Y$35))</f>
        <v>9000</v>
      </c>
      <c r="Z15" s="27" cm="1">
        <f t="array" ref="Z15">_xlfn.SWITCH($E$5,"Q4 2024",_xlfn.XLOOKUP($B15,$B$63:$B$68,Z$63:Z$68),
"Q3 2024",_xlfn.XLOOKUP($B15,$B$52:$B$57,Z$52:Z$57),
"Q2 2024",_xlfn.XLOOKUP($B15,$B$41:$B$46,Z$41:Z$46), "Q1 2024",_xlfn.XLOOKUP($B15,$B$30:$B$35,Z$30:Z$35))</f>
        <v>8000</v>
      </c>
      <c r="AA15" s="27" cm="1">
        <f t="array" ref="AA15">_xlfn.SWITCH($E$5,"Q4 2024",_xlfn.XLOOKUP($B15,$B$63:$B$68,AA$63:AA$68),
"Q3 2024",_xlfn.XLOOKUP($B15,$B$52:$B$57,AA$52:AA$57),
"Q2 2024",_xlfn.XLOOKUP($B15,$B$41:$B$46,AA$41:AA$46), "Q1 2024",_xlfn.XLOOKUP($B15,$B$30:$B$35,AA$30:AA$35))</f>
        <v>395.83</v>
      </c>
      <c r="AB15" s="27" cm="1">
        <f t="array" ref="AB15">_xlfn.SWITCH($E$5,"Q4 2024",_xlfn.XLOOKUP($B15,$B$63:$B$68,AB$63:AB$68),
"Q3 2024",_xlfn.XLOOKUP($B15,$B$52:$B$57,AB$52:AB$57),
"Q2 2024",_xlfn.XLOOKUP($B15,$B$41:$B$46,AB$41:AB$46), "Q1 2024",_xlfn.XLOOKUP($B15,$B$30:$B$35,AB$30:AB$35))</f>
        <v>600</v>
      </c>
      <c r="AC15" s="27" cm="1">
        <f t="array" ref="AC15">_xlfn.SWITCH($E$5,"Q4 2024",_xlfn.XLOOKUP($B15,$B$63:$B$68,AC$63:AC$68),
"Q3 2024",_xlfn.XLOOKUP($B15,$B$52:$B$57,AC$52:AC$57),
"Q2 2024",_xlfn.XLOOKUP($B15,$B$41:$B$46,AC$41:AC$46), "Q1 2024",_xlfn.XLOOKUP($B15,$B$30:$B$35,AC$30:AC$35))</f>
        <v>266.67</v>
      </c>
      <c r="AD15" s="27" cm="1">
        <f t="array" ref="AD15">_xlfn.SWITCH($E$5,"Q4 2024",_xlfn.XLOOKUP($B15,$B$63:$B$68,AD$63:AD$68),
"Q3 2024",_xlfn.XLOOKUP($B15,$B$52:$B$57,AD$52:AD$57),
"Q2 2024",_xlfn.XLOOKUP($B15,$B$41:$B$46,AD$41:AD$46), "Q1 2024",_xlfn.XLOOKUP($B15,$B$30:$B$35,AD$30:AD$35))</f>
        <v>350</v>
      </c>
      <c r="AE15" s="27" cm="1">
        <f t="array" ref="AE15">_xlfn.SWITCH($E$5,"Q4 2024",_xlfn.XLOOKUP($B15,$B$63:$B$68,AE$63:AE$68),
"Q3 2024",_xlfn.XLOOKUP($B15,$B$52:$B$57,AE$52:AE$57),
"Q2 2024",_xlfn.XLOOKUP($B15,$B$41:$B$46,AE$41:AE$46), "Q1 2024",_xlfn.XLOOKUP($B15,$B$30:$B$35,AE$30:AE$35))</f>
        <v>350</v>
      </c>
      <c r="AF15" s="27" cm="1">
        <f t="array" ref="AF15">_xlfn.SWITCH($E$5,"Q4 2024",_xlfn.XLOOKUP($B15,$B$63:$B$68,AF$63:AF$68),
"Q3 2024",_xlfn.XLOOKUP($B15,$B$52:$B$57,AF$52:AF$57),
"Q2 2024",_xlfn.XLOOKUP($B15,$B$41:$B$46,AF$41:AF$46), "Q1 2024",_xlfn.XLOOKUP($B15,$B$30:$B$35,AF$30:AF$35))</f>
        <v>300</v>
      </c>
      <c r="AG15" s="27" cm="1">
        <f t="array" ref="AG15">_xlfn.SWITCH($E$5,"Q4 2024",_xlfn.XLOOKUP($B15,$B$63:$B$68,AG$63:AG$68),
"Q3 2024",_xlfn.XLOOKUP($B15,$B$52:$B$57,AG$52:AG$57),
"Q2 2024",_xlfn.XLOOKUP($B15,$B$41:$B$46,AG$41:AG$46), "Q1 2024",_xlfn.XLOOKUP($B15,$B$30:$B$35,AG$30:AG$35))</f>
        <v>360</v>
      </c>
      <c r="AH15" s="27" cm="1">
        <f t="array" ref="AH15">_xlfn.SWITCH($E$5,"Q4 2024",_xlfn.XLOOKUP($B15,$B$63:$B$68,AH$63:AH$68),
"Q3 2024",_xlfn.XLOOKUP($B15,$B$52:$B$57,AH$52:AH$57),
"Q2 2024",_xlfn.XLOOKUP($B15,$B$41:$B$46,AH$41:AH$46), "Q1 2024",_xlfn.XLOOKUP($B15,$B$30:$B$35,AH$30:AH$35))</f>
        <v>350</v>
      </c>
      <c r="AI15" s="27" cm="1">
        <f t="array" ref="AI15">_xlfn.SWITCH($E$5,"Q4 2024",_xlfn.XLOOKUP($B15,$B$63:$B$68,AI$63:AI$68),
"Q3 2024",_xlfn.XLOOKUP($B15,$B$52:$B$57,AI$52:AI$57),
"Q2 2024",_xlfn.XLOOKUP($B15,$B$41:$B$46,AI$41:AI$46), "Q1 2024",_xlfn.XLOOKUP($B15,$B$30:$B$35,AI$30:AI$35))</f>
        <v>425</v>
      </c>
      <c r="AJ15" s="27" cm="1">
        <f t="array" ref="AJ15">_xlfn.SWITCH($E$5,"Q4 2024",_xlfn.XLOOKUP($B15,$B$63:$B$68,AJ$63:AJ$68),
"Q3 2024",_xlfn.XLOOKUP($B15,$B$52:$B$57,AJ$52:AJ$57),
"Q2 2024",_xlfn.XLOOKUP($B15,$B$41:$B$46,AJ$41:AJ$46), "Q1 2024",_xlfn.XLOOKUP($B15,$B$30:$B$35,AJ$30:AJ$35))</f>
        <v>2000</v>
      </c>
      <c r="AK15" s="27" cm="1">
        <f t="array" ref="AK15">_xlfn.SWITCH($E$5,"Q4 2024",_xlfn.XLOOKUP($B15,$B$63:$B$68,AK$63:AK$68),
"Q3 2024",_xlfn.XLOOKUP($B15,$B$52:$B$57,AK$52:AK$57),
"Q2 2024",_xlfn.XLOOKUP($B15,$B$41:$B$46,AK$41:AK$46), "Q1 2024",_xlfn.XLOOKUP($B15,$B$30:$B$35,AK$30:AK$35))</f>
        <v>2063.4899999999998</v>
      </c>
      <c r="AL15" s="27" cm="1">
        <f t="array" ref="AL15">_xlfn.SWITCH($E$5,"Q4 2024",_xlfn.XLOOKUP($B15,$B$63:$B$68,AL$63:AL$68),
"Q3 2024",_xlfn.XLOOKUP($B15,$B$52:$B$57,AL$52:AL$57),
"Q2 2024",_xlfn.XLOOKUP($B15,$B$41:$B$46,AL$41:AL$46), "Q1 2024",_xlfn.XLOOKUP($B15,$B$30:$B$35,AL$30:AL$35))</f>
        <v>1875</v>
      </c>
      <c r="AM15" s="27" cm="1">
        <f t="array" ref="AM15">_xlfn.SWITCH($E$5,"Q4 2024",_xlfn.XLOOKUP($B15,$B$63:$B$68,AM$63:AM$68),
"Q3 2024",_xlfn.XLOOKUP($B15,$B$52:$B$57,AM$52:AM$57),
"Q2 2024",_xlfn.XLOOKUP($B15,$B$41:$B$46,AM$41:AM$46), "Q1 2024",_xlfn.XLOOKUP($B15,$B$30:$B$35,AM$30:AM$35))</f>
        <v>2100</v>
      </c>
      <c r="AN15" s="27" cm="1">
        <f t="array" ref="AN15">_xlfn.SWITCH($E$5,"Q4 2024",_xlfn.XLOOKUP($B15,$B$63:$B$68,AN$63:AN$68),
"Q3 2024",_xlfn.XLOOKUP($B15,$B$52:$B$57,AN$52:AN$57),
"Q2 2024",_xlfn.XLOOKUP($B15,$B$41:$B$46,AN$41:AN$46), "Q1 2024",_xlfn.XLOOKUP($B15,$B$30:$B$35,AN$30:AN$35))</f>
        <v>2800</v>
      </c>
      <c r="AO15" s="27" cm="1">
        <f t="array" ref="AO15">_xlfn.SWITCH($E$5,"Q4 2024",_xlfn.XLOOKUP($B15,$B$63:$B$68,AO$63:AO$68),
"Q3 2024",_xlfn.XLOOKUP($B15,$B$52:$B$57,AO$52:AO$57),
"Q2 2024",_xlfn.XLOOKUP($B15,$B$41:$B$46,AO$41:AO$46), "Q1 2024",_xlfn.XLOOKUP($B15,$B$30:$B$35,AO$30:AO$35))</f>
        <v>3000</v>
      </c>
      <c r="AP15" s="27" cm="1">
        <f t="array" ref="AP15">_xlfn.SWITCH($E$5,"Q4 2024",_xlfn.XLOOKUP($B15,$B$63:$B$68,AP$63:AP$68),
"Q3 2024",_xlfn.XLOOKUP($B15,$B$52:$B$57,AP$52:AP$57),
"Q2 2024",_xlfn.XLOOKUP($B15,$B$41:$B$46,AP$41:AP$46), "Q1 2024",_xlfn.XLOOKUP($B15,$B$30:$B$35,AP$30:AP$35))</f>
        <v>2450</v>
      </c>
      <c r="AQ15" s="27" cm="1">
        <f t="array" ref="AQ15">_xlfn.SWITCH($E$5,"Q4 2024",_xlfn.XLOOKUP($B15,$B$63:$B$68,AQ$63:AQ$68),
"Q3 2024",_xlfn.XLOOKUP($B15,$B$52:$B$57,AQ$52:AQ$57),
"Q2 2024",_xlfn.XLOOKUP($B15,$B$41:$B$46,AQ$41:AQ$46), "Q1 2024",_xlfn.XLOOKUP($B15,$B$30:$B$35,AQ$30:AQ$35))</f>
        <v>2700</v>
      </c>
      <c r="AR15" s="27" cm="1">
        <f t="array" ref="AR15">_xlfn.SWITCH($E$5,"Q4 2024",_xlfn.XLOOKUP($B15,$B$63:$B$68,AR$63:AR$68),
"Q3 2024",_xlfn.XLOOKUP($B15,$B$52:$B$57,AR$52:AR$57),
"Q2 2024",_xlfn.XLOOKUP($B15,$B$41:$B$46,AR$41:AR$46), "Q1 2024",_xlfn.XLOOKUP($B15,$B$30:$B$35,AR$30:AR$35))</f>
        <v>2350</v>
      </c>
    </row>
    <row r="16" spans="1:44" ht="14.25" customHeight="1" thickBot="1" x14ac:dyDescent="0.3">
      <c r="A16" s="25"/>
      <c r="B16" s="28" t="s">
        <v>30</v>
      </c>
      <c r="C16" s="29" cm="1">
        <f t="array" ref="C16">_xlfn.SWITCH($E$5,"Q4 2024",_xlfn.XLOOKUP($B16,$B$63:$B$68,C$63:C$68),
"Q3 2024",_xlfn.XLOOKUP($B16,$B$52:$B$57,C$52:C$57),
"Q2 2024",_xlfn.XLOOKUP($B16,$B$41:$B$46,C$41:C$46), "Q1 2024",_xlfn.XLOOKUP($B16,$B$30:$B$35,C$30:C$35))</f>
        <v>700000</v>
      </c>
      <c r="D16" s="29" cm="1">
        <f t="array" ref="D16">_xlfn.SWITCH($E$5,"Q4 2024",_xlfn.XLOOKUP($B16,$B$63:$B$68,D$63:D$68),
"Q3 2024",_xlfn.XLOOKUP($B16,$B$52:$B$57,D$52:D$57),
"Q2 2024",_xlfn.XLOOKUP($B16,$B$41:$B$46,D$41:D$46), "Q1 2024",_xlfn.XLOOKUP($B16,$B$30:$B$35,D$30:D$35))</f>
        <v>715000</v>
      </c>
      <c r="E16" s="29" cm="1">
        <f t="array" ref="E16">_xlfn.SWITCH($E$5,"Q4 2024",_xlfn.XLOOKUP($B16,$B$63:$B$68,E$63:E$68),
"Q3 2024",_xlfn.XLOOKUP($B16,$B$52:$B$57,E$52:E$57),
"Q2 2024",_xlfn.XLOOKUP($B16,$B$41:$B$46,E$41:E$46), "Q1 2024",_xlfn.XLOOKUP($B16,$B$30:$B$35,E$30:E$35))</f>
        <v>770000</v>
      </c>
      <c r="F16" s="27" cm="1">
        <f t="array" ref="F16">_xlfn.SWITCH($E$5,"Q4 2024",_xlfn.XLOOKUP($B16,$B$63:$B$68,F$63:F$68),
"Q3 2024",_xlfn.XLOOKUP($B16,$B$52:$B$57,F$52:F$57),
"Q2 2024",_xlfn.XLOOKUP($B16,$B$41:$B$46,F$41:F$46), "Q1 2024",_xlfn.XLOOKUP($B16,$B$30:$B$35,F$30:F$35))</f>
        <v>825000</v>
      </c>
      <c r="G16" s="27" cm="1">
        <f t="array" ref="G16">_xlfn.SWITCH($E$5,"Q4 2024",_xlfn.XLOOKUP($B16,$B$63:$B$68,G$63:G$68),
"Q3 2024",_xlfn.XLOOKUP($B16,$B$52:$B$57,G$52:G$57),
"Q2 2024",_xlfn.XLOOKUP($B16,$B$41:$B$46,G$41:G$46), "Q1 2024",_xlfn.XLOOKUP($B16,$B$30:$B$35,G$30:G$35))</f>
        <v>775000</v>
      </c>
      <c r="H16" s="27" cm="1">
        <f t="array" ref="H16">_xlfn.SWITCH($E$5,"Q4 2024",_xlfn.XLOOKUP($B16,$B$63:$B$68,H$63:H$68),
"Q3 2024",_xlfn.XLOOKUP($B16,$B$52:$B$57,H$52:H$57),
"Q2 2024",_xlfn.XLOOKUP($B16,$B$41:$B$46,H$41:H$46), "Q1 2024",_xlfn.XLOOKUP($B16,$B$30:$B$35,H$30:H$35))</f>
        <v>725000</v>
      </c>
      <c r="I16" s="27" cm="1">
        <f t="array" ref="I16">_xlfn.SWITCH($E$5,"Q4 2024",_xlfn.XLOOKUP($B16,$B$63:$B$68,I$63:I$68),
"Q3 2024",_xlfn.XLOOKUP($B16,$B$52:$B$57,I$52:I$57),
"Q2 2024",_xlfn.XLOOKUP($B16,$B$41:$B$46,I$41:I$46), "Q1 2024",_xlfn.XLOOKUP($B16,$B$30:$B$35,I$30:I$35))</f>
        <v>780000</v>
      </c>
      <c r="J16" s="27" cm="1">
        <f t="array" ref="J16">_xlfn.SWITCH($E$5,"Q4 2024",_xlfn.XLOOKUP($B16,$B$63:$B$68,J$63:J$68),
"Q3 2024",_xlfn.XLOOKUP($B16,$B$52:$B$57,J$52:J$57),
"Q2 2024",_xlfn.XLOOKUP($B16,$B$41:$B$46,J$41:J$46), "Q1 2024",_xlfn.XLOOKUP($B16,$B$30:$B$35,J$30:J$35))</f>
        <v>700000</v>
      </c>
      <c r="K16" s="27" cm="1">
        <f t="array" ref="K16">_xlfn.SWITCH($E$5,"Q4 2024",_xlfn.XLOOKUP($B16,$B$63:$B$68,K$63:K$68),
"Q3 2024",_xlfn.XLOOKUP($B16,$B$52:$B$57,K$52:K$57),
"Q2 2024",_xlfn.XLOOKUP($B16,$B$41:$B$46,K$41:K$46), "Q1 2024",_xlfn.XLOOKUP($B16,$B$30:$B$35,K$30:K$35))</f>
        <v>685000</v>
      </c>
      <c r="L16" s="27" cm="1">
        <f t="array" ref="L16">_xlfn.SWITCH($E$5,"Q4 2024",_xlfn.XLOOKUP($B16,$B$63:$B$68,L$63:L$68),
"Q3 2024",_xlfn.XLOOKUP($B16,$B$52:$B$57,L$52:L$57),
"Q2 2024",_xlfn.XLOOKUP($B16,$B$41:$B$46,L$41:L$46), "Q1 2024",_xlfn.XLOOKUP($B16,$B$30:$B$35,L$30:L$35))</f>
        <v>345</v>
      </c>
      <c r="M16" s="27" cm="1">
        <f t="array" ref="M16">_xlfn.SWITCH($E$5,"Q4 2024",_xlfn.XLOOKUP($B16,$B$63:$B$68,M$63:M$68),
"Q3 2024",_xlfn.XLOOKUP($B16,$B$52:$B$57,M$52:M$57),
"Q2 2024",_xlfn.XLOOKUP($B16,$B$41:$B$46,M$41:M$46), "Q1 2024",_xlfn.XLOOKUP($B16,$B$30:$B$35,M$30:M$35))</f>
        <v>366</v>
      </c>
      <c r="N16" s="27" cm="1">
        <f t="array" ref="N16">_xlfn.SWITCH($E$5,"Q4 2024",_xlfn.XLOOKUP($B16,$B$63:$B$68,N$63:N$68),
"Q3 2024",_xlfn.XLOOKUP($B16,$B$52:$B$57,N$52:N$57),
"Q2 2024",_xlfn.XLOOKUP($B16,$B$41:$B$46,N$41:N$46), "Q1 2024",_xlfn.XLOOKUP($B16,$B$30:$B$35,N$30:N$35))</f>
        <v>393</v>
      </c>
      <c r="O16" s="27" cm="1">
        <f t="array" ref="O16">_xlfn.SWITCH($E$5,"Q4 2024",_xlfn.XLOOKUP($B16,$B$63:$B$68,O$63:O$68),
"Q3 2024",_xlfn.XLOOKUP($B16,$B$52:$B$57,O$52:O$57),
"Q2 2024",_xlfn.XLOOKUP($B16,$B$41:$B$46,O$41:O$46), "Q1 2024",_xlfn.XLOOKUP($B16,$B$30:$B$35,O$30:O$35))</f>
        <v>100</v>
      </c>
      <c r="P16" s="27" cm="1">
        <f t="array" ref="P16">_xlfn.SWITCH($E$5,"Q4 2024",_xlfn.XLOOKUP($B16,$B$63:$B$68,P$63:P$68),
"Q3 2024",_xlfn.XLOOKUP($B16,$B$52:$B$57,P$52:P$57),
"Q2 2024",_xlfn.XLOOKUP($B16,$B$41:$B$46,P$41:P$46), "Q1 2024",_xlfn.XLOOKUP($B16,$B$30:$B$35,P$30:P$35))</f>
        <v>100</v>
      </c>
      <c r="Q16" s="27" cm="1">
        <f t="array" ref="Q16">_xlfn.SWITCH($E$5,"Q4 2024",_xlfn.XLOOKUP($B16,$B$63:$B$68,Q$63:Q$68),
"Q3 2024",_xlfn.XLOOKUP($B16,$B$52:$B$57,Q$52:Q$57),
"Q2 2024",_xlfn.XLOOKUP($B16,$B$41:$B$46,Q$41:Q$46), "Q1 2024",_xlfn.XLOOKUP($B16,$B$30:$B$35,Q$30:Q$35))</f>
        <v>100</v>
      </c>
      <c r="R16" s="27" cm="1">
        <f t="array" ref="R16">_xlfn.SWITCH($E$5,"Q4 2024",_xlfn.XLOOKUP($B16,$B$63:$B$68,R$63:R$68),
"Q3 2024",_xlfn.XLOOKUP($B16,$B$52:$B$57,R$52:R$57),
"Q2 2024",_xlfn.XLOOKUP($B16,$B$41:$B$46,R$41:R$46), "Q1 2024",_xlfn.XLOOKUP($B16,$B$30:$B$35,R$30:R$35))</f>
        <v>108</v>
      </c>
      <c r="S16" s="27" cm="1">
        <f t="array" ref="S16">_xlfn.SWITCH($E$5,"Q4 2024",_xlfn.XLOOKUP($B16,$B$63:$B$68,S$63:S$68),
"Q3 2024",_xlfn.XLOOKUP($B16,$B$52:$B$57,S$52:S$57),
"Q2 2024",_xlfn.XLOOKUP($B16,$B$41:$B$46,S$41:S$46), "Q1 2024",_xlfn.XLOOKUP($B16,$B$30:$B$35,S$30:S$35))</f>
        <v>87</v>
      </c>
      <c r="T16" s="27" cm="1">
        <f t="array" ref="T16">_xlfn.SWITCH($E$5,"Q4 2024",_xlfn.XLOOKUP($B16,$B$63:$B$68,T$63:T$68),
"Q3 2024",_xlfn.XLOOKUP($B16,$B$52:$B$57,T$52:T$57),
"Q2 2024",_xlfn.XLOOKUP($B16,$B$41:$B$46,T$41:T$46), "Q1 2024",_xlfn.XLOOKUP($B16,$B$30:$B$35,T$30:T$35))</f>
        <v>114</v>
      </c>
      <c r="U16" s="27" cm="1">
        <f t="array" ref="U16">_xlfn.SWITCH($E$5,"Q4 2024",_xlfn.XLOOKUP($B16,$B$63:$B$68,U$63:U$68),
"Q3 2024",_xlfn.XLOOKUP($B16,$B$52:$B$57,U$52:U$57),
"Q2 2024",_xlfn.XLOOKUP($B16,$B$41:$B$46,U$41:U$46), "Q1 2024",_xlfn.XLOOKUP($B16,$B$30:$B$35,U$30:U$35))</f>
        <v>97</v>
      </c>
      <c r="V16" s="27" cm="1">
        <f t="array" ref="V16">_xlfn.SWITCH($E$5,"Q4 2024",_xlfn.XLOOKUP($B16,$B$63:$B$68,V$63:V$68),
"Q3 2024",_xlfn.XLOOKUP($B16,$B$52:$B$57,V$52:V$57),
"Q2 2024",_xlfn.XLOOKUP($B16,$B$41:$B$46,V$41:V$46), "Q1 2024",_xlfn.XLOOKUP($B16,$B$30:$B$35,V$30:V$35))</f>
        <v>96</v>
      </c>
      <c r="W16" s="27" cm="1">
        <f t="array" ref="W16">_xlfn.SWITCH($E$5,"Q4 2024",_xlfn.XLOOKUP($B16,$B$63:$B$68,W$63:W$68),
"Q3 2024",_xlfn.XLOOKUP($B16,$B$52:$B$57,W$52:W$57),
"Q2 2024",_xlfn.XLOOKUP($B16,$B$41:$B$46,W$41:W$46), "Q1 2024",_xlfn.XLOOKUP($B16,$B$30:$B$35,W$30:W$35))</f>
        <v>94</v>
      </c>
      <c r="X16" s="27" cm="1">
        <f t="array" ref="X16">_xlfn.SWITCH($E$5,"Q4 2024",_xlfn.XLOOKUP($B16,$B$63:$B$68,X$63:X$68),
"Q3 2024",_xlfn.XLOOKUP($B16,$B$52:$B$57,X$52:X$57),
"Q2 2024",_xlfn.XLOOKUP($B16,$B$41:$B$46,X$41:X$46), "Q1 2024",_xlfn.XLOOKUP($B16,$B$30:$B$35,X$30:X$35))</f>
        <v>33200</v>
      </c>
      <c r="Y16" s="27" cm="1">
        <f t="array" ref="Y16">_xlfn.SWITCH($E$5,"Q4 2024",_xlfn.XLOOKUP($B16,$B$63:$B$68,Y$63:Y$68),
"Q3 2024",_xlfn.XLOOKUP($B16,$B$52:$B$57,Y$52:Y$57),
"Q2 2024",_xlfn.XLOOKUP($B16,$B$41:$B$46,Y$41:Y$46), "Q1 2024",_xlfn.XLOOKUP($B16,$B$30:$B$35,Y$30:Y$35))</f>
        <v>37500</v>
      </c>
      <c r="Z16" s="27" cm="1">
        <f t="array" ref="Z16">_xlfn.SWITCH($E$5,"Q4 2024",_xlfn.XLOOKUP($B16,$B$63:$B$68,Z$63:Z$68),
"Q3 2024",_xlfn.XLOOKUP($B16,$B$52:$B$57,Z$52:Z$57),
"Q2 2024",_xlfn.XLOOKUP($B16,$B$41:$B$46,Z$41:Z$46), "Q1 2024",_xlfn.XLOOKUP($B16,$B$30:$B$35,Z$30:Z$35))</f>
        <v>37500</v>
      </c>
      <c r="AA16" s="27" cm="1">
        <f t="array" ref="AA16">_xlfn.SWITCH($E$5,"Q4 2024",_xlfn.XLOOKUP($B16,$B$63:$B$68,AA$63:AA$68),
"Q3 2024",_xlfn.XLOOKUP($B16,$B$52:$B$57,AA$52:AA$57),
"Q2 2024",_xlfn.XLOOKUP($B16,$B$41:$B$46,AA$41:AA$46), "Q1 2024",_xlfn.XLOOKUP($B16,$B$30:$B$35,AA$30:AA$35))</f>
        <v>316.56799999999998</v>
      </c>
      <c r="AB16" s="27" cm="1">
        <f t="array" ref="AB16">_xlfn.SWITCH($E$5,"Q4 2024",_xlfn.XLOOKUP($B16,$B$63:$B$68,AB$63:AB$68),
"Q3 2024",_xlfn.XLOOKUP($B16,$B$52:$B$57,AB$52:AB$57),
"Q2 2024",_xlfn.XLOOKUP($B16,$B$41:$B$46,AB$41:AB$46), "Q1 2024",_xlfn.XLOOKUP($B16,$B$30:$B$35,AB$30:AB$35))</f>
        <v>446.64399999999995</v>
      </c>
      <c r="AC16" s="27" cm="1">
        <f t="array" ref="AC16">_xlfn.SWITCH($E$5,"Q4 2024",_xlfn.XLOOKUP($B16,$B$63:$B$68,AC$63:AC$68),
"Q3 2024",_xlfn.XLOOKUP($B16,$B$52:$B$57,AC$52:AC$57),
"Q2 2024",_xlfn.XLOOKUP($B16,$B$41:$B$46,AC$41:AC$46), "Q1 2024",_xlfn.XLOOKUP($B16,$B$30:$B$35,AC$30:AC$35))</f>
        <v>353.12</v>
      </c>
      <c r="AD16" s="27" cm="1">
        <f t="array" ref="AD16">_xlfn.SWITCH($E$5,"Q4 2024",_xlfn.XLOOKUP($B16,$B$63:$B$68,AD$63:AD$68),
"Q3 2024",_xlfn.XLOOKUP($B16,$B$52:$B$57,AD$52:AD$57),
"Q2 2024",_xlfn.XLOOKUP($B16,$B$41:$B$46,AD$41:AD$46), "Q1 2024",_xlfn.XLOOKUP($B16,$B$30:$B$35,AD$30:AD$35))</f>
        <v>350</v>
      </c>
      <c r="AE16" s="27" cm="1">
        <f t="array" ref="AE16">_xlfn.SWITCH($E$5,"Q4 2024",_xlfn.XLOOKUP($B16,$B$63:$B$68,AE$63:AE$68),
"Q3 2024",_xlfn.XLOOKUP($B16,$B$52:$B$57,AE$52:AE$57),
"Q2 2024",_xlfn.XLOOKUP($B16,$B$41:$B$46,AE$41:AE$46), "Q1 2024",_xlfn.XLOOKUP($B16,$B$30:$B$35,AE$30:AE$35))</f>
        <v>350</v>
      </c>
      <c r="AF16" s="27" cm="1">
        <f t="array" ref="AF16">_xlfn.SWITCH($E$5,"Q4 2024",_xlfn.XLOOKUP($B16,$B$63:$B$68,AF$63:AF$68),
"Q3 2024",_xlfn.XLOOKUP($B16,$B$52:$B$57,AF$52:AF$57),
"Q2 2024",_xlfn.XLOOKUP($B16,$B$41:$B$46,AF$41:AF$46), "Q1 2024",_xlfn.XLOOKUP($B16,$B$30:$B$35,AF$30:AF$35))</f>
        <v>300</v>
      </c>
      <c r="AG16" s="27" cm="1">
        <f t="array" ref="AG16">_xlfn.SWITCH($E$5,"Q4 2024",_xlfn.XLOOKUP($B16,$B$63:$B$68,AG$63:AG$68),
"Q3 2024",_xlfn.XLOOKUP($B16,$B$52:$B$57,AG$52:AG$57),
"Q2 2024",_xlfn.XLOOKUP($B16,$B$41:$B$46,AG$41:AG$46), "Q1 2024",_xlfn.XLOOKUP($B16,$B$30:$B$35,AG$30:AG$35))</f>
        <v>374.6</v>
      </c>
      <c r="AH16" s="27" cm="1">
        <f t="array" ref="AH16">_xlfn.SWITCH($E$5,"Q4 2024",_xlfn.XLOOKUP($B16,$B$63:$B$68,AH$63:AH$68),
"Q3 2024",_xlfn.XLOOKUP($B16,$B$52:$B$57,AH$52:AH$57),
"Q2 2024",_xlfn.XLOOKUP($B16,$B$41:$B$46,AH$41:AH$46), "Q1 2024",_xlfn.XLOOKUP($B16,$B$30:$B$35,AH$30:AH$35))</f>
        <v>378</v>
      </c>
      <c r="AI16" s="27" cm="1">
        <f t="array" ref="AI16">_xlfn.SWITCH($E$5,"Q4 2024",_xlfn.XLOOKUP($B16,$B$63:$B$68,AI$63:AI$68),
"Q3 2024",_xlfn.XLOOKUP($B16,$B$52:$B$57,AI$52:AI$57),
"Q2 2024",_xlfn.XLOOKUP($B16,$B$41:$B$46,AI$41:AI$46), "Q1 2024",_xlfn.XLOOKUP($B16,$B$30:$B$35,AI$30:AI$35))</f>
        <v>385</v>
      </c>
      <c r="AJ16" s="27" cm="1">
        <f t="array" ref="AJ16">_xlfn.SWITCH($E$5,"Q4 2024",_xlfn.XLOOKUP($B16,$B$63:$B$68,AJ$63:AJ$68),
"Q3 2024",_xlfn.XLOOKUP($B16,$B$52:$B$57,AJ$52:AJ$57),
"Q2 2024",_xlfn.XLOOKUP($B16,$B$41:$B$46,AJ$41:AJ$46), "Q1 2024",_xlfn.XLOOKUP($B16,$B$30:$B$35,AJ$30:AJ$35))</f>
        <v>2019.4880000000001</v>
      </c>
      <c r="AK16" s="27" cm="1">
        <f t="array" ref="AK16">_xlfn.SWITCH($E$5,"Q4 2024",_xlfn.XLOOKUP($B16,$B$63:$B$68,AK$63:AK$68),
"Q3 2024",_xlfn.XLOOKUP($B16,$B$52:$B$57,AK$52:AK$57),
"Q2 2024",_xlfn.XLOOKUP($B16,$B$41:$B$46,AK$41:AK$46), "Q1 2024",_xlfn.XLOOKUP($B16,$B$30:$B$35,AK$30:AK$35))</f>
        <v>1968.5919999999999</v>
      </c>
      <c r="AL16" s="27" cm="1">
        <f t="array" ref="AL16">_xlfn.SWITCH($E$5,"Q4 2024",_xlfn.XLOOKUP($B16,$B$63:$B$68,AL$63:AL$68),
"Q3 2024",_xlfn.XLOOKUP($B16,$B$52:$B$57,AL$52:AL$57),
"Q2 2024",_xlfn.XLOOKUP($B16,$B$41:$B$46,AL$41:AL$46), "Q1 2024",_xlfn.XLOOKUP($B16,$B$30:$B$35,AL$30:AL$35))</f>
        <v>1972.2139999999999</v>
      </c>
      <c r="AM16" s="27" cm="1">
        <f t="array" ref="AM16">_xlfn.SWITCH($E$5,"Q4 2024",_xlfn.XLOOKUP($B16,$B$63:$B$68,AM$63:AM$68),
"Q3 2024",_xlfn.XLOOKUP($B16,$B$52:$B$57,AM$52:AM$57),
"Q2 2024",_xlfn.XLOOKUP($B16,$B$41:$B$46,AM$41:AM$46), "Q1 2024",_xlfn.XLOOKUP($B16,$B$30:$B$35,AM$30:AM$35))</f>
        <v>2200</v>
      </c>
      <c r="AN16" s="27" cm="1">
        <f t="array" ref="AN16">_xlfn.SWITCH($E$5,"Q4 2024",_xlfn.XLOOKUP($B16,$B$63:$B$68,AN$63:AN$68),
"Q3 2024",_xlfn.XLOOKUP($B16,$B$52:$B$57,AN$52:AN$57),
"Q2 2024",_xlfn.XLOOKUP($B16,$B$41:$B$46,AN$41:AN$46), "Q1 2024",_xlfn.XLOOKUP($B16,$B$30:$B$35,AN$30:AN$35))</f>
        <v>2520</v>
      </c>
      <c r="AO16" s="27" cm="1">
        <f t="array" ref="AO16">_xlfn.SWITCH($E$5,"Q4 2024",_xlfn.XLOOKUP($B16,$B$63:$B$68,AO$63:AO$68),
"Q3 2024",_xlfn.XLOOKUP($B16,$B$52:$B$57,AO$52:AO$57),
"Q2 2024",_xlfn.XLOOKUP($B16,$B$41:$B$46,AO$41:AO$46), "Q1 2024",_xlfn.XLOOKUP($B16,$B$30:$B$35,AO$30:AO$35))</f>
        <v>2540</v>
      </c>
      <c r="AP16" s="27" cm="1">
        <f t="array" ref="AP16">_xlfn.SWITCH($E$5,"Q4 2024",_xlfn.XLOOKUP($B16,$B$63:$B$68,AP$63:AP$68),
"Q3 2024",_xlfn.XLOOKUP($B16,$B$52:$B$57,AP$52:AP$57),
"Q2 2024",_xlfn.XLOOKUP($B16,$B$41:$B$46,AP$41:AP$46), "Q1 2024",_xlfn.XLOOKUP($B16,$B$30:$B$35,AP$30:AP$35))</f>
        <v>2450</v>
      </c>
      <c r="AQ16" s="27" cm="1">
        <f t="array" ref="AQ16">_xlfn.SWITCH($E$5,"Q4 2024",_xlfn.XLOOKUP($B16,$B$63:$B$68,AQ$63:AQ$68),
"Q3 2024",_xlfn.XLOOKUP($B16,$B$52:$B$57,AQ$52:AQ$57),
"Q2 2024",_xlfn.XLOOKUP($B16,$B$41:$B$46,AQ$41:AQ$46), "Q1 2024",_xlfn.XLOOKUP($B16,$B$30:$B$35,AQ$30:AQ$35))</f>
        <v>2700</v>
      </c>
      <c r="AR16" s="27" cm="1">
        <f t="array" ref="AR16">_xlfn.SWITCH($E$5,"Q4 2024",_xlfn.XLOOKUP($B16,$B$63:$B$68,AR$63:AR$68),
"Q3 2024",_xlfn.XLOOKUP($B16,$B$52:$B$57,AR$52:AR$57),
"Q2 2024",_xlfn.XLOOKUP($B16,$B$41:$B$46,AR$41:AR$46), "Q1 2024",_xlfn.XLOOKUP($B16,$B$30:$B$35,AR$30:AR$35))</f>
        <v>2350</v>
      </c>
    </row>
    <row r="17" spans="1:44" ht="14.25" customHeight="1" thickBot="1" x14ac:dyDescent="0.3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</row>
    <row r="18" spans="1:44" ht="21" x14ac:dyDescent="0.25">
      <c r="A18" s="32"/>
      <c r="B18" s="33" t="s">
        <v>31</v>
      </c>
      <c r="C18" s="32"/>
      <c r="D18" s="34">
        <f>SUM(C35:E35,C46:E46,C57:E57,C68:E68)</f>
        <v>9271500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</row>
    <row r="19" spans="1:44" ht="14.25" customHeight="1" thickBot="1" x14ac:dyDescent="0.3">
      <c r="A19" s="32"/>
      <c r="B19" s="33" t="s">
        <v>32</v>
      </c>
      <c r="C19" s="32"/>
      <c r="D19" s="35">
        <f>SUM(L35:N35,L46:N46,L57:N57,L68:N68)</f>
        <v>3799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</row>
    <row r="20" spans="1:44" ht="14.25" customHeight="1" thickBot="1" x14ac:dyDescent="0.3">
      <c r="A20" s="32"/>
      <c r="B20" s="33" t="s">
        <v>33</v>
      </c>
      <c r="C20" s="32"/>
      <c r="D20" s="35">
        <f>SUM(R35:T35,R46:T46,R57:T57,R68:T68)</f>
        <v>1228</v>
      </c>
      <c r="E20" s="27"/>
      <c r="F20" s="27"/>
      <c r="G20" s="27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</row>
    <row r="21" spans="1:44" ht="14.25" customHeight="1" thickBot="1" x14ac:dyDescent="0.3">
      <c r="A21" s="32"/>
      <c r="B21" s="33" t="s">
        <v>34</v>
      </c>
      <c r="C21" s="32"/>
      <c r="D21" s="34">
        <f>D18/D19</f>
        <v>2440.5106607001844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</row>
    <row r="22" spans="1:44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8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ht="14.25" hidden="1" customHeight="1" x14ac:dyDescent="0.25">
      <c r="A25" s="1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</row>
    <row r="26" spans="1:44" ht="14.25" hidden="1" customHeight="1" x14ac:dyDescent="0.25">
      <c r="A26" s="37"/>
      <c r="B26" s="38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8"/>
    </row>
    <row r="27" spans="1:44" ht="52.5" customHeight="1" x14ac:dyDescent="0.25">
      <c r="A27" s="37"/>
      <c r="B27" s="38"/>
      <c r="C27" s="61" t="s">
        <v>35</v>
      </c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3"/>
    </row>
    <row r="28" spans="1:44" ht="14.25" customHeight="1" x14ac:dyDescent="0.25">
      <c r="A28" s="37"/>
      <c r="B28" s="38"/>
      <c r="C28" s="40" t="s">
        <v>36</v>
      </c>
      <c r="D28" s="40" t="s">
        <v>37</v>
      </c>
      <c r="E28" s="41" t="s">
        <v>38</v>
      </c>
      <c r="F28" s="40" t="s">
        <v>36</v>
      </c>
      <c r="G28" s="40" t="s">
        <v>37</v>
      </c>
      <c r="H28" s="41" t="s">
        <v>38</v>
      </c>
      <c r="I28" s="40" t="s">
        <v>36</v>
      </c>
      <c r="J28" s="40" t="s">
        <v>37</v>
      </c>
      <c r="K28" s="41" t="s">
        <v>38</v>
      </c>
      <c r="L28" s="40" t="s">
        <v>36</v>
      </c>
      <c r="M28" s="40" t="s">
        <v>37</v>
      </c>
      <c r="N28" s="41" t="s">
        <v>38</v>
      </c>
      <c r="O28" s="40" t="s">
        <v>36</v>
      </c>
      <c r="P28" s="40" t="s">
        <v>37</v>
      </c>
      <c r="Q28" s="41" t="s">
        <v>38</v>
      </c>
      <c r="R28" s="40" t="s">
        <v>36</v>
      </c>
      <c r="S28" s="40" t="s">
        <v>37</v>
      </c>
      <c r="T28" s="41" t="s">
        <v>38</v>
      </c>
      <c r="U28" s="40" t="s">
        <v>36</v>
      </c>
      <c r="V28" s="40" t="s">
        <v>37</v>
      </c>
      <c r="W28" s="41" t="s">
        <v>38</v>
      </c>
      <c r="X28" s="40" t="s">
        <v>36</v>
      </c>
      <c r="Y28" s="40" t="s">
        <v>37</v>
      </c>
      <c r="Z28" s="41" t="s">
        <v>38</v>
      </c>
      <c r="AA28" s="40" t="s">
        <v>36</v>
      </c>
      <c r="AB28" s="40" t="s">
        <v>37</v>
      </c>
      <c r="AC28" s="41" t="s">
        <v>38</v>
      </c>
      <c r="AD28" s="40" t="s">
        <v>36</v>
      </c>
      <c r="AE28" s="40" t="s">
        <v>37</v>
      </c>
      <c r="AF28" s="41" t="s">
        <v>38</v>
      </c>
      <c r="AG28" s="40" t="s">
        <v>36</v>
      </c>
      <c r="AH28" s="40" t="s">
        <v>37</v>
      </c>
      <c r="AI28" s="41" t="s">
        <v>38</v>
      </c>
      <c r="AJ28" s="40" t="s">
        <v>36</v>
      </c>
      <c r="AK28" s="40" t="s">
        <v>37</v>
      </c>
      <c r="AL28" s="41" t="s">
        <v>38</v>
      </c>
      <c r="AM28" s="40" t="s">
        <v>36</v>
      </c>
      <c r="AN28" s="40" t="s">
        <v>37</v>
      </c>
      <c r="AO28" s="41" t="s">
        <v>38</v>
      </c>
      <c r="AP28" s="40" t="s">
        <v>36</v>
      </c>
      <c r="AQ28" s="40" t="s">
        <v>37</v>
      </c>
      <c r="AR28" s="41" t="s">
        <v>38</v>
      </c>
    </row>
    <row r="29" spans="1:44" ht="14.25" customHeight="1" x14ac:dyDescent="0.25">
      <c r="A29" s="37"/>
      <c r="B29" s="38"/>
      <c r="C29" s="42" t="s">
        <v>11</v>
      </c>
      <c r="D29" s="42" t="s">
        <v>11</v>
      </c>
      <c r="E29" s="43" t="s">
        <v>11</v>
      </c>
      <c r="F29" s="42" t="s">
        <v>12</v>
      </c>
      <c r="G29" s="42" t="s">
        <v>12</v>
      </c>
      <c r="H29" s="43" t="s">
        <v>12</v>
      </c>
      <c r="I29" s="42" t="s">
        <v>13</v>
      </c>
      <c r="J29" s="42" t="s">
        <v>13</v>
      </c>
      <c r="K29" s="43" t="s">
        <v>13</v>
      </c>
      <c r="L29" s="42" t="s">
        <v>14</v>
      </c>
      <c r="M29" s="42" t="s">
        <v>14</v>
      </c>
      <c r="N29" s="43" t="s">
        <v>14</v>
      </c>
      <c r="O29" s="42" t="s">
        <v>15</v>
      </c>
      <c r="P29" s="42" t="s">
        <v>15</v>
      </c>
      <c r="Q29" s="43" t="s">
        <v>15</v>
      </c>
      <c r="R29" s="42" t="s">
        <v>16</v>
      </c>
      <c r="S29" s="42" t="s">
        <v>16</v>
      </c>
      <c r="T29" s="43" t="s">
        <v>16</v>
      </c>
      <c r="U29" s="42" t="s">
        <v>17</v>
      </c>
      <c r="V29" s="42" t="s">
        <v>17</v>
      </c>
      <c r="W29" s="43" t="s">
        <v>17</v>
      </c>
      <c r="X29" s="42" t="s">
        <v>18</v>
      </c>
      <c r="Y29" s="42" t="s">
        <v>18</v>
      </c>
      <c r="Z29" s="43" t="s">
        <v>18</v>
      </c>
      <c r="AA29" s="42" t="s">
        <v>19</v>
      </c>
      <c r="AB29" s="42" t="s">
        <v>19</v>
      </c>
      <c r="AC29" s="43" t="s">
        <v>19</v>
      </c>
      <c r="AD29" s="42" t="s">
        <v>20</v>
      </c>
      <c r="AE29" s="42" t="s">
        <v>20</v>
      </c>
      <c r="AF29" s="43" t="s">
        <v>20</v>
      </c>
      <c r="AG29" s="42" t="s">
        <v>21</v>
      </c>
      <c r="AH29" s="42" t="s">
        <v>21</v>
      </c>
      <c r="AI29" s="43" t="s">
        <v>21</v>
      </c>
      <c r="AJ29" s="42" t="s">
        <v>22</v>
      </c>
      <c r="AK29" s="42" t="s">
        <v>22</v>
      </c>
      <c r="AL29" s="43" t="s">
        <v>22</v>
      </c>
      <c r="AM29" s="42" t="s">
        <v>23</v>
      </c>
      <c r="AN29" s="42" t="s">
        <v>23</v>
      </c>
      <c r="AO29" s="43" t="s">
        <v>23</v>
      </c>
      <c r="AP29" s="42" t="s">
        <v>24</v>
      </c>
      <c r="AQ29" s="42" t="s">
        <v>24</v>
      </c>
      <c r="AR29" s="43" t="s">
        <v>24</v>
      </c>
    </row>
    <row r="30" spans="1:44" ht="14.25" customHeight="1" x14ac:dyDescent="0.25">
      <c r="A30" s="44"/>
      <c r="B30" s="44" t="s">
        <v>25</v>
      </c>
      <c r="C30" s="44">
        <v>135000</v>
      </c>
      <c r="D30" s="44">
        <v>130000</v>
      </c>
      <c r="E30" s="44">
        <v>160000</v>
      </c>
      <c r="F30" s="44">
        <v>150000</v>
      </c>
      <c r="G30" s="44">
        <v>140000</v>
      </c>
      <c r="H30" s="44">
        <v>150000</v>
      </c>
      <c r="I30" s="44">
        <v>115000</v>
      </c>
      <c r="J30" s="44">
        <v>140000</v>
      </c>
      <c r="K30" s="44">
        <v>160000</v>
      </c>
      <c r="L30" s="44">
        <v>57</v>
      </c>
      <c r="M30" s="44">
        <v>58</v>
      </c>
      <c r="N30" s="44">
        <v>63</v>
      </c>
      <c r="O30" s="44">
        <v>25</v>
      </c>
      <c r="P30" s="44">
        <v>20</v>
      </c>
      <c r="Q30" s="44">
        <v>25</v>
      </c>
      <c r="R30" s="44">
        <v>10</v>
      </c>
      <c r="S30" s="44">
        <v>11</v>
      </c>
      <c r="T30" s="44">
        <v>18</v>
      </c>
      <c r="U30" s="44">
        <v>9</v>
      </c>
      <c r="V30" s="44">
        <v>12</v>
      </c>
      <c r="W30" s="44">
        <v>14</v>
      </c>
      <c r="X30" s="44">
        <v>4200</v>
      </c>
      <c r="Y30" s="44">
        <v>5000</v>
      </c>
      <c r="Z30" s="44">
        <v>5500</v>
      </c>
      <c r="AA30" s="44">
        <v>420</v>
      </c>
      <c r="AB30" s="44">
        <v>454.55</v>
      </c>
      <c r="AC30" s="44">
        <v>305.56</v>
      </c>
      <c r="AD30" s="44">
        <v>350</v>
      </c>
      <c r="AE30" s="44">
        <v>350</v>
      </c>
      <c r="AF30" s="44">
        <v>350</v>
      </c>
      <c r="AG30" s="44">
        <v>400</v>
      </c>
      <c r="AH30" s="44">
        <v>385</v>
      </c>
      <c r="AI30" s="44">
        <v>390</v>
      </c>
      <c r="AJ30" s="44">
        <v>2192.98</v>
      </c>
      <c r="AK30" s="44">
        <v>2241.38</v>
      </c>
      <c r="AL30" s="44">
        <v>2539.6799999999998</v>
      </c>
      <c r="AM30" s="44">
        <v>2200</v>
      </c>
      <c r="AN30" s="44">
        <v>2100</v>
      </c>
      <c r="AO30" s="44">
        <v>2400</v>
      </c>
      <c r="AP30" s="44">
        <v>2500</v>
      </c>
      <c r="AQ30" s="44">
        <v>2600</v>
      </c>
      <c r="AR30" s="44">
        <v>2400</v>
      </c>
    </row>
    <row r="31" spans="1:44" ht="14.25" customHeight="1" x14ac:dyDescent="0.25">
      <c r="A31" s="44"/>
      <c r="B31" s="44" t="s">
        <v>26</v>
      </c>
      <c r="C31" s="44">
        <v>170000</v>
      </c>
      <c r="D31" s="44">
        <v>160000</v>
      </c>
      <c r="E31" s="44">
        <v>185000</v>
      </c>
      <c r="F31" s="44">
        <v>150000</v>
      </c>
      <c r="G31" s="44">
        <v>140000</v>
      </c>
      <c r="H31" s="44">
        <v>150000</v>
      </c>
      <c r="I31" s="44">
        <v>160000</v>
      </c>
      <c r="J31" s="44">
        <v>130000</v>
      </c>
      <c r="K31" s="44">
        <v>125000</v>
      </c>
      <c r="L31" s="44">
        <v>74</v>
      </c>
      <c r="M31" s="44">
        <v>70</v>
      </c>
      <c r="N31" s="44">
        <v>74</v>
      </c>
      <c r="O31" s="44">
        <v>25</v>
      </c>
      <c r="P31" s="44">
        <v>20</v>
      </c>
      <c r="Q31" s="44">
        <v>25</v>
      </c>
      <c r="R31" s="44">
        <v>22</v>
      </c>
      <c r="S31" s="44">
        <v>23</v>
      </c>
      <c r="T31" s="44">
        <v>26</v>
      </c>
      <c r="U31" s="44">
        <v>17</v>
      </c>
      <c r="V31" s="44">
        <v>24</v>
      </c>
      <c r="W31" s="44">
        <v>22</v>
      </c>
      <c r="X31" s="44">
        <v>7800</v>
      </c>
      <c r="Y31" s="44">
        <v>10000</v>
      </c>
      <c r="Z31" s="44">
        <v>9000</v>
      </c>
      <c r="AA31" s="44">
        <v>354.55</v>
      </c>
      <c r="AB31" s="44">
        <v>434.78</v>
      </c>
      <c r="AC31" s="44">
        <v>346.15</v>
      </c>
      <c r="AD31" s="44">
        <v>350</v>
      </c>
      <c r="AE31" s="44">
        <v>350</v>
      </c>
      <c r="AF31" s="44">
        <v>350</v>
      </c>
      <c r="AG31" s="44">
        <v>402</v>
      </c>
      <c r="AH31" s="44">
        <v>290</v>
      </c>
      <c r="AI31" s="44">
        <v>380</v>
      </c>
      <c r="AJ31" s="44">
        <v>2432.4299999999998</v>
      </c>
      <c r="AK31" s="44">
        <v>2285.71</v>
      </c>
      <c r="AL31" s="44">
        <v>2500</v>
      </c>
      <c r="AM31" s="44">
        <v>2100</v>
      </c>
      <c r="AN31" s="44">
        <v>2200</v>
      </c>
      <c r="AO31" s="44">
        <v>2300</v>
      </c>
      <c r="AP31" s="44">
        <v>2500</v>
      </c>
      <c r="AQ31" s="44">
        <v>2600</v>
      </c>
      <c r="AR31" s="44">
        <v>2400</v>
      </c>
    </row>
    <row r="32" spans="1:44" ht="14.25" customHeight="1" x14ac:dyDescent="0.25">
      <c r="A32" s="44"/>
      <c r="B32" s="44" t="s">
        <v>27</v>
      </c>
      <c r="C32" s="44">
        <v>175000</v>
      </c>
      <c r="D32" s="44">
        <v>135000</v>
      </c>
      <c r="E32" s="44">
        <v>145000</v>
      </c>
      <c r="F32" s="44">
        <v>150000</v>
      </c>
      <c r="G32" s="44">
        <v>140000</v>
      </c>
      <c r="H32" s="44">
        <v>150000</v>
      </c>
      <c r="I32" s="44">
        <v>170000</v>
      </c>
      <c r="J32" s="44">
        <v>145000</v>
      </c>
      <c r="K32" s="44">
        <v>130000</v>
      </c>
      <c r="L32" s="44">
        <v>70</v>
      </c>
      <c r="M32" s="44">
        <v>55</v>
      </c>
      <c r="N32" s="44">
        <v>61</v>
      </c>
      <c r="O32" s="44">
        <v>25</v>
      </c>
      <c r="P32" s="44">
        <v>20</v>
      </c>
      <c r="Q32" s="44">
        <v>25</v>
      </c>
      <c r="R32" s="44">
        <v>35</v>
      </c>
      <c r="S32" s="44">
        <v>20</v>
      </c>
      <c r="T32" s="44">
        <v>17</v>
      </c>
      <c r="U32" s="44">
        <v>36</v>
      </c>
      <c r="V32" s="44">
        <v>25</v>
      </c>
      <c r="W32" s="44">
        <v>21</v>
      </c>
      <c r="X32" s="44">
        <v>13200</v>
      </c>
      <c r="Y32" s="44">
        <v>9500</v>
      </c>
      <c r="Z32" s="44">
        <v>8300</v>
      </c>
      <c r="AA32" s="44">
        <v>377.14</v>
      </c>
      <c r="AB32" s="44">
        <v>475</v>
      </c>
      <c r="AC32" s="44">
        <v>488.24</v>
      </c>
      <c r="AD32" s="44">
        <v>350</v>
      </c>
      <c r="AE32" s="44">
        <v>350</v>
      </c>
      <c r="AF32" s="44">
        <v>350</v>
      </c>
      <c r="AG32" s="44">
        <v>350</v>
      </c>
      <c r="AH32" s="44">
        <v>385</v>
      </c>
      <c r="AI32" s="44">
        <v>352</v>
      </c>
      <c r="AJ32" s="44">
        <v>2428.5700000000002</v>
      </c>
      <c r="AK32" s="44">
        <v>2454.5500000000002</v>
      </c>
      <c r="AL32" s="44">
        <v>2377.0500000000002</v>
      </c>
      <c r="AM32" s="44">
        <v>2500</v>
      </c>
      <c r="AN32" s="44">
        <v>2500</v>
      </c>
      <c r="AO32" s="44">
        <v>2300</v>
      </c>
      <c r="AP32" s="44">
        <v>2500</v>
      </c>
      <c r="AQ32" s="44">
        <v>2600</v>
      </c>
      <c r="AR32" s="44">
        <v>2400</v>
      </c>
    </row>
    <row r="33" spans="1:44" ht="14.25" customHeight="1" x14ac:dyDescent="0.25">
      <c r="A33" s="44"/>
      <c r="B33" s="44" t="s">
        <v>28</v>
      </c>
      <c r="C33" s="44">
        <v>156000</v>
      </c>
      <c r="D33" s="44">
        <v>175000</v>
      </c>
      <c r="E33" s="44">
        <v>155000</v>
      </c>
      <c r="F33" s="44">
        <v>150000</v>
      </c>
      <c r="G33" s="44">
        <v>140000</v>
      </c>
      <c r="H33" s="44">
        <v>150000</v>
      </c>
      <c r="I33" s="44">
        <v>165000</v>
      </c>
      <c r="J33" s="44">
        <v>155000</v>
      </c>
      <c r="K33" s="44">
        <v>140000</v>
      </c>
      <c r="L33" s="44">
        <v>66</v>
      </c>
      <c r="M33" s="44">
        <v>68</v>
      </c>
      <c r="N33" s="44">
        <v>63</v>
      </c>
      <c r="O33" s="44">
        <v>25</v>
      </c>
      <c r="P33" s="44">
        <v>20</v>
      </c>
      <c r="Q33" s="44">
        <v>25</v>
      </c>
      <c r="R33" s="44">
        <v>18</v>
      </c>
      <c r="S33" s="44">
        <v>14</v>
      </c>
      <c r="T33" s="44">
        <v>24</v>
      </c>
      <c r="U33" s="44">
        <v>14</v>
      </c>
      <c r="V33" s="44">
        <v>25</v>
      </c>
      <c r="W33" s="44">
        <v>22</v>
      </c>
      <c r="X33" s="44">
        <v>6500</v>
      </c>
      <c r="Y33" s="44">
        <v>9000</v>
      </c>
      <c r="Z33" s="44">
        <v>8500</v>
      </c>
      <c r="AA33" s="44">
        <v>361.11</v>
      </c>
      <c r="AB33" s="44">
        <v>642.86</v>
      </c>
      <c r="AC33" s="44">
        <v>354.17</v>
      </c>
      <c r="AD33" s="44">
        <v>350</v>
      </c>
      <c r="AE33" s="44">
        <v>350</v>
      </c>
      <c r="AF33" s="44">
        <v>350</v>
      </c>
      <c r="AG33" s="44">
        <v>350</v>
      </c>
      <c r="AH33" s="44">
        <v>360</v>
      </c>
      <c r="AI33" s="44">
        <v>388</v>
      </c>
      <c r="AJ33" s="44">
        <v>2272.73</v>
      </c>
      <c r="AK33" s="44">
        <v>2573.5300000000002</v>
      </c>
      <c r="AL33" s="44">
        <v>2460.3200000000002</v>
      </c>
      <c r="AM33" s="44">
        <v>2200</v>
      </c>
      <c r="AN33" s="44">
        <v>2600</v>
      </c>
      <c r="AO33" s="44">
        <v>2400</v>
      </c>
      <c r="AP33" s="44">
        <v>2500</v>
      </c>
      <c r="AQ33" s="44">
        <v>2600</v>
      </c>
      <c r="AR33" s="44">
        <v>2400</v>
      </c>
    </row>
    <row r="34" spans="1:44" ht="14.25" customHeight="1" x14ac:dyDescent="0.25">
      <c r="A34" s="44"/>
      <c r="B34" s="44" t="s">
        <v>29</v>
      </c>
      <c r="C34" s="44">
        <v>135500</v>
      </c>
      <c r="D34" s="44">
        <v>190000</v>
      </c>
      <c r="E34" s="44">
        <v>140000</v>
      </c>
      <c r="F34" s="44">
        <v>150000</v>
      </c>
      <c r="G34" s="44">
        <v>140000</v>
      </c>
      <c r="H34" s="44">
        <v>150000</v>
      </c>
      <c r="I34" s="44">
        <v>155000</v>
      </c>
      <c r="J34" s="44">
        <v>120000</v>
      </c>
      <c r="K34" s="44">
        <v>150000</v>
      </c>
      <c r="L34" s="44">
        <v>71</v>
      </c>
      <c r="M34" s="44">
        <v>62</v>
      </c>
      <c r="N34" s="44">
        <v>51</v>
      </c>
      <c r="O34" s="44">
        <v>25</v>
      </c>
      <c r="P34" s="44">
        <v>20</v>
      </c>
      <c r="Q34" s="44">
        <v>25</v>
      </c>
      <c r="R34" s="44">
        <v>33</v>
      </c>
      <c r="S34" s="44">
        <v>20</v>
      </c>
      <c r="T34" s="44">
        <v>16</v>
      </c>
      <c r="U34" s="44">
        <v>20</v>
      </c>
      <c r="V34" s="44">
        <v>25</v>
      </c>
      <c r="W34" s="44">
        <v>24</v>
      </c>
      <c r="X34" s="44">
        <v>12100</v>
      </c>
      <c r="Y34" s="44">
        <v>10800</v>
      </c>
      <c r="Z34" s="44">
        <v>10500</v>
      </c>
      <c r="AA34" s="44">
        <v>366.67</v>
      </c>
      <c r="AB34" s="44">
        <v>540</v>
      </c>
      <c r="AC34" s="44">
        <v>656.25</v>
      </c>
      <c r="AD34" s="44">
        <v>350</v>
      </c>
      <c r="AE34" s="44">
        <v>350</v>
      </c>
      <c r="AF34" s="44">
        <v>350</v>
      </c>
      <c r="AG34" s="44">
        <v>385</v>
      </c>
      <c r="AH34" s="44">
        <v>350</v>
      </c>
      <c r="AI34" s="44">
        <v>406</v>
      </c>
      <c r="AJ34" s="44">
        <v>1901.41</v>
      </c>
      <c r="AK34" s="44">
        <v>3064.52</v>
      </c>
      <c r="AL34" s="44">
        <v>2745.1</v>
      </c>
      <c r="AM34" s="44">
        <v>2100</v>
      </c>
      <c r="AN34" s="44">
        <v>2800</v>
      </c>
      <c r="AO34" s="44">
        <v>2700</v>
      </c>
      <c r="AP34" s="44">
        <v>2500</v>
      </c>
      <c r="AQ34" s="44">
        <v>2600</v>
      </c>
      <c r="AR34" s="44">
        <v>2400</v>
      </c>
    </row>
    <row r="35" spans="1:44" ht="14.25" customHeight="1" x14ac:dyDescent="0.25">
      <c r="A35" s="45"/>
      <c r="B35" s="45" t="s">
        <v>30</v>
      </c>
      <c r="C35" s="45">
        <f t="shared" ref="C35:Z35" si="0">SUM(C30:C34)</f>
        <v>771500</v>
      </c>
      <c r="D35" s="45">
        <f t="shared" si="0"/>
        <v>790000</v>
      </c>
      <c r="E35" s="45">
        <f t="shared" si="0"/>
        <v>785000</v>
      </c>
      <c r="F35" s="45">
        <f t="shared" si="0"/>
        <v>750000</v>
      </c>
      <c r="G35" s="45">
        <f t="shared" si="0"/>
        <v>700000</v>
      </c>
      <c r="H35" s="45">
        <f t="shared" si="0"/>
        <v>750000</v>
      </c>
      <c r="I35" s="45">
        <f t="shared" si="0"/>
        <v>765000</v>
      </c>
      <c r="J35" s="45">
        <f t="shared" si="0"/>
        <v>690000</v>
      </c>
      <c r="K35" s="45">
        <f t="shared" si="0"/>
        <v>705000</v>
      </c>
      <c r="L35" s="45">
        <f t="shared" si="0"/>
        <v>338</v>
      </c>
      <c r="M35" s="45">
        <f t="shared" si="0"/>
        <v>313</v>
      </c>
      <c r="N35" s="45">
        <f t="shared" si="0"/>
        <v>312</v>
      </c>
      <c r="O35" s="45">
        <f t="shared" si="0"/>
        <v>125</v>
      </c>
      <c r="P35" s="45">
        <f t="shared" si="0"/>
        <v>100</v>
      </c>
      <c r="Q35" s="45">
        <f t="shared" si="0"/>
        <v>125</v>
      </c>
      <c r="R35" s="45">
        <f t="shared" si="0"/>
        <v>118</v>
      </c>
      <c r="S35" s="45">
        <f t="shared" si="0"/>
        <v>88</v>
      </c>
      <c r="T35" s="45">
        <f t="shared" si="0"/>
        <v>101</v>
      </c>
      <c r="U35" s="45">
        <f t="shared" si="0"/>
        <v>96</v>
      </c>
      <c r="V35" s="45">
        <f t="shared" si="0"/>
        <v>111</v>
      </c>
      <c r="W35" s="45">
        <f t="shared" si="0"/>
        <v>103</v>
      </c>
      <c r="X35" s="45">
        <f t="shared" si="0"/>
        <v>43800</v>
      </c>
      <c r="Y35" s="45">
        <f t="shared" si="0"/>
        <v>44300</v>
      </c>
      <c r="Z35" s="45">
        <f t="shared" si="0"/>
        <v>41800</v>
      </c>
      <c r="AA35" s="45">
        <f t="shared" ref="AA35:AR35" si="1">AVERAGE(AA30:AA34)</f>
        <v>375.89400000000006</v>
      </c>
      <c r="AB35" s="45">
        <f t="shared" si="1"/>
        <v>509.43799999999999</v>
      </c>
      <c r="AC35" s="45">
        <f t="shared" si="1"/>
        <v>430.07399999999996</v>
      </c>
      <c r="AD35" s="45">
        <f t="shared" si="1"/>
        <v>350</v>
      </c>
      <c r="AE35" s="45">
        <f t="shared" si="1"/>
        <v>350</v>
      </c>
      <c r="AF35" s="45">
        <f t="shared" si="1"/>
        <v>350</v>
      </c>
      <c r="AG35" s="45">
        <f t="shared" si="1"/>
        <v>377.4</v>
      </c>
      <c r="AH35" s="45">
        <f t="shared" si="1"/>
        <v>354</v>
      </c>
      <c r="AI35" s="45">
        <f t="shared" si="1"/>
        <v>383.2</v>
      </c>
      <c r="AJ35" s="45">
        <f t="shared" si="1"/>
        <v>2245.6239999999998</v>
      </c>
      <c r="AK35" s="45">
        <f t="shared" si="1"/>
        <v>2523.9380000000001</v>
      </c>
      <c r="AL35" s="45">
        <f t="shared" si="1"/>
        <v>2524.4300000000003</v>
      </c>
      <c r="AM35" s="45">
        <f t="shared" si="1"/>
        <v>2220</v>
      </c>
      <c r="AN35" s="45">
        <f t="shared" si="1"/>
        <v>2440</v>
      </c>
      <c r="AO35" s="45">
        <f t="shared" si="1"/>
        <v>2420</v>
      </c>
      <c r="AP35" s="45">
        <f t="shared" si="1"/>
        <v>2500</v>
      </c>
      <c r="AQ35" s="45">
        <f t="shared" si="1"/>
        <v>2600</v>
      </c>
      <c r="AR35" s="45">
        <f t="shared" si="1"/>
        <v>2400</v>
      </c>
    </row>
    <row r="36" spans="1:44" ht="14.25" customHeight="1" x14ac:dyDescent="0.25">
      <c r="A36" s="1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</row>
    <row r="37" spans="1:44" ht="14.25" customHeight="1" x14ac:dyDescent="0.25">
      <c r="A37" s="37"/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8"/>
    </row>
    <row r="38" spans="1:44" ht="14.25" customHeight="1" x14ac:dyDescent="0.25">
      <c r="A38" s="37"/>
      <c r="B38" s="38"/>
      <c r="C38" s="61" t="s">
        <v>39</v>
      </c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3"/>
    </row>
    <row r="39" spans="1:44" ht="14.25" customHeight="1" x14ac:dyDescent="0.25">
      <c r="A39" s="37"/>
      <c r="B39" s="38"/>
      <c r="C39" s="40" t="s">
        <v>40</v>
      </c>
      <c r="D39" s="40" t="s">
        <v>41</v>
      </c>
      <c r="E39" s="41" t="s">
        <v>42</v>
      </c>
      <c r="F39" s="40" t="s">
        <v>40</v>
      </c>
      <c r="G39" s="40" t="s">
        <v>41</v>
      </c>
      <c r="H39" s="41" t="s">
        <v>42</v>
      </c>
      <c r="I39" s="40" t="s">
        <v>40</v>
      </c>
      <c r="J39" s="40" t="s">
        <v>41</v>
      </c>
      <c r="K39" s="41" t="s">
        <v>42</v>
      </c>
      <c r="L39" s="40" t="s">
        <v>40</v>
      </c>
      <c r="M39" s="40" t="s">
        <v>41</v>
      </c>
      <c r="N39" s="41" t="s">
        <v>42</v>
      </c>
      <c r="O39" s="40" t="s">
        <v>40</v>
      </c>
      <c r="P39" s="40" t="s">
        <v>41</v>
      </c>
      <c r="Q39" s="41" t="s">
        <v>42</v>
      </c>
      <c r="R39" s="40" t="s">
        <v>40</v>
      </c>
      <c r="S39" s="40" t="s">
        <v>41</v>
      </c>
      <c r="T39" s="41" t="s">
        <v>42</v>
      </c>
      <c r="U39" s="40" t="s">
        <v>40</v>
      </c>
      <c r="V39" s="40" t="s">
        <v>41</v>
      </c>
      <c r="W39" s="41" t="s">
        <v>42</v>
      </c>
      <c r="X39" s="40" t="s">
        <v>40</v>
      </c>
      <c r="Y39" s="40" t="s">
        <v>41</v>
      </c>
      <c r="Z39" s="41" t="s">
        <v>42</v>
      </c>
      <c r="AA39" s="40" t="s">
        <v>40</v>
      </c>
      <c r="AB39" s="40" t="s">
        <v>41</v>
      </c>
      <c r="AC39" s="41" t="s">
        <v>42</v>
      </c>
      <c r="AD39" s="40" t="s">
        <v>40</v>
      </c>
      <c r="AE39" s="40" t="s">
        <v>41</v>
      </c>
      <c r="AF39" s="41" t="s">
        <v>42</v>
      </c>
      <c r="AG39" s="40" t="s">
        <v>40</v>
      </c>
      <c r="AH39" s="40" t="s">
        <v>41</v>
      </c>
      <c r="AI39" s="41" t="s">
        <v>42</v>
      </c>
      <c r="AJ39" s="40" t="s">
        <v>40</v>
      </c>
      <c r="AK39" s="40" t="s">
        <v>41</v>
      </c>
      <c r="AL39" s="41" t="s">
        <v>42</v>
      </c>
      <c r="AM39" s="40" t="s">
        <v>40</v>
      </c>
      <c r="AN39" s="40" t="s">
        <v>41</v>
      </c>
      <c r="AO39" s="41" t="s">
        <v>42</v>
      </c>
      <c r="AP39" s="40" t="s">
        <v>40</v>
      </c>
      <c r="AQ39" s="40" t="s">
        <v>41</v>
      </c>
      <c r="AR39" s="41" t="s">
        <v>42</v>
      </c>
    </row>
    <row r="40" spans="1:44" ht="14.25" customHeight="1" x14ac:dyDescent="0.25">
      <c r="A40" s="37"/>
      <c r="B40" s="38"/>
      <c r="C40" s="42" t="s">
        <v>11</v>
      </c>
      <c r="D40" s="42" t="s">
        <v>11</v>
      </c>
      <c r="E40" s="43" t="s">
        <v>11</v>
      </c>
      <c r="F40" s="42" t="s">
        <v>12</v>
      </c>
      <c r="G40" s="42" t="s">
        <v>12</v>
      </c>
      <c r="H40" s="43" t="s">
        <v>12</v>
      </c>
      <c r="I40" s="42" t="s">
        <v>13</v>
      </c>
      <c r="J40" s="42" t="s">
        <v>13</v>
      </c>
      <c r="K40" s="43" t="s">
        <v>13</v>
      </c>
      <c r="L40" s="42" t="s">
        <v>14</v>
      </c>
      <c r="M40" s="42" t="s">
        <v>14</v>
      </c>
      <c r="N40" s="43" t="s">
        <v>14</v>
      </c>
      <c r="O40" s="42" t="s">
        <v>15</v>
      </c>
      <c r="P40" s="42" t="s">
        <v>15</v>
      </c>
      <c r="Q40" s="43" t="s">
        <v>15</v>
      </c>
      <c r="R40" s="42" t="s">
        <v>16</v>
      </c>
      <c r="S40" s="42" t="s">
        <v>16</v>
      </c>
      <c r="T40" s="43" t="s">
        <v>16</v>
      </c>
      <c r="U40" s="42" t="s">
        <v>17</v>
      </c>
      <c r="V40" s="42" t="s">
        <v>17</v>
      </c>
      <c r="W40" s="43" t="s">
        <v>17</v>
      </c>
      <c r="X40" s="42" t="s">
        <v>18</v>
      </c>
      <c r="Y40" s="42" t="s">
        <v>18</v>
      </c>
      <c r="Z40" s="43" t="s">
        <v>18</v>
      </c>
      <c r="AA40" s="42" t="s">
        <v>19</v>
      </c>
      <c r="AB40" s="42" t="s">
        <v>19</v>
      </c>
      <c r="AC40" s="43" t="s">
        <v>19</v>
      </c>
      <c r="AD40" s="42" t="s">
        <v>20</v>
      </c>
      <c r="AE40" s="42" t="s">
        <v>20</v>
      </c>
      <c r="AF40" s="43" t="s">
        <v>20</v>
      </c>
      <c r="AG40" s="42" t="s">
        <v>21</v>
      </c>
      <c r="AH40" s="42" t="s">
        <v>21</v>
      </c>
      <c r="AI40" s="43" t="s">
        <v>21</v>
      </c>
      <c r="AJ40" s="42" t="s">
        <v>22</v>
      </c>
      <c r="AK40" s="42" t="s">
        <v>22</v>
      </c>
      <c r="AL40" s="43" t="s">
        <v>22</v>
      </c>
      <c r="AM40" s="42" t="s">
        <v>23</v>
      </c>
      <c r="AN40" s="42" t="s">
        <v>23</v>
      </c>
      <c r="AO40" s="43" t="s">
        <v>23</v>
      </c>
      <c r="AP40" s="42" t="s">
        <v>24</v>
      </c>
      <c r="AQ40" s="42" t="s">
        <v>24</v>
      </c>
      <c r="AR40" s="43" t="s">
        <v>24</v>
      </c>
    </row>
    <row r="41" spans="1:44" ht="14.25" customHeight="1" x14ac:dyDescent="0.25">
      <c r="A41" s="44"/>
      <c r="B41" s="44" t="s">
        <v>25</v>
      </c>
      <c r="C41" s="44">
        <v>130000</v>
      </c>
      <c r="D41" s="44">
        <v>135000</v>
      </c>
      <c r="E41" s="44">
        <v>150000</v>
      </c>
      <c r="F41" s="44">
        <v>150000</v>
      </c>
      <c r="G41" s="44">
        <v>160000</v>
      </c>
      <c r="H41" s="44">
        <v>140000</v>
      </c>
      <c r="I41" s="44">
        <v>125000</v>
      </c>
      <c r="J41" s="44">
        <v>160000</v>
      </c>
      <c r="K41" s="44">
        <v>135000</v>
      </c>
      <c r="L41" s="44">
        <v>58</v>
      </c>
      <c r="M41" s="44">
        <v>63</v>
      </c>
      <c r="N41" s="44">
        <v>55</v>
      </c>
      <c r="O41" s="44">
        <v>30</v>
      </c>
      <c r="P41" s="44">
        <v>30</v>
      </c>
      <c r="Q41" s="44">
        <v>25</v>
      </c>
      <c r="R41" s="44">
        <v>12</v>
      </c>
      <c r="S41" s="44">
        <v>25</v>
      </c>
      <c r="T41" s="44">
        <v>11</v>
      </c>
      <c r="U41" s="44">
        <v>11</v>
      </c>
      <c r="V41" s="44">
        <v>21</v>
      </c>
      <c r="W41" s="44">
        <v>14</v>
      </c>
      <c r="X41" s="44">
        <v>5000</v>
      </c>
      <c r="Y41" s="44">
        <v>4500</v>
      </c>
      <c r="Z41" s="44">
        <v>5000</v>
      </c>
      <c r="AA41" s="44">
        <v>416.67</v>
      </c>
      <c r="AB41" s="44">
        <v>180</v>
      </c>
      <c r="AC41" s="44">
        <v>454.55</v>
      </c>
      <c r="AD41" s="44">
        <v>400</v>
      </c>
      <c r="AE41" s="44">
        <v>350</v>
      </c>
      <c r="AF41" s="44">
        <v>350</v>
      </c>
      <c r="AG41" s="44">
        <v>400</v>
      </c>
      <c r="AH41" s="44">
        <v>385</v>
      </c>
      <c r="AI41" s="44">
        <v>390</v>
      </c>
      <c r="AJ41" s="44">
        <v>2068.9699999999998</v>
      </c>
      <c r="AK41" s="44">
        <v>2142.86</v>
      </c>
      <c r="AL41" s="44">
        <v>2727.27</v>
      </c>
      <c r="AM41" s="44">
        <v>2100</v>
      </c>
      <c r="AN41" s="44">
        <v>2000</v>
      </c>
      <c r="AO41" s="44">
        <v>2600</v>
      </c>
      <c r="AP41" s="44">
        <v>2700</v>
      </c>
      <c r="AQ41" s="44">
        <v>2500</v>
      </c>
      <c r="AR41" s="44">
        <v>2600</v>
      </c>
    </row>
    <row r="42" spans="1:44" ht="14.25" customHeight="1" x14ac:dyDescent="0.25">
      <c r="A42" s="44"/>
      <c r="B42" s="44" t="s">
        <v>26</v>
      </c>
      <c r="C42" s="44">
        <v>175000</v>
      </c>
      <c r="D42" s="44">
        <v>155000</v>
      </c>
      <c r="E42" s="44">
        <v>190000</v>
      </c>
      <c r="F42" s="44">
        <v>150000</v>
      </c>
      <c r="G42" s="44">
        <v>160000</v>
      </c>
      <c r="H42" s="44">
        <v>140000</v>
      </c>
      <c r="I42" s="44">
        <v>145000</v>
      </c>
      <c r="J42" s="44">
        <v>125000</v>
      </c>
      <c r="K42" s="44">
        <v>125000</v>
      </c>
      <c r="L42" s="44">
        <v>70</v>
      </c>
      <c r="M42" s="44">
        <v>74</v>
      </c>
      <c r="N42" s="44">
        <v>65</v>
      </c>
      <c r="O42" s="44">
        <v>30</v>
      </c>
      <c r="P42" s="44">
        <v>30</v>
      </c>
      <c r="Q42" s="44">
        <v>25</v>
      </c>
      <c r="R42" s="44">
        <v>26</v>
      </c>
      <c r="S42" s="44">
        <v>18</v>
      </c>
      <c r="T42" s="44">
        <v>23</v>
      </c>
      <c r="U42" s="44">
        <v>17</v>
      </c>
      <c r="V42" s="44">
        <v>18</v>
      </c>
      <c r="W42" s="44">
        <v>15</v>
      </c>
      <c r="X42" s="44">
        <v>9800</v>
      </c>
      <c r="Y42" s="44">
        <v>9800</v>
      </c>
      <c r="Z42" s="44">
        <v>6500</v>
      </c>
      <c r="AA42" s="44">
        <v>376.92</v>
      </c>
      <c r="AB42" s="44">
        <v>544.44000000000005</v>
      </c>
      <c r="AC42" s="44">
        <v>282.61</v>
      </c>
      <c r="AD42" s="44">
        <v>400</v>
      </c>
      <c r="AE42" s="44">
        <v>350</v>
      </c>
      <c r="AF42" s="44">
        <v>350</v>
      </c>
      <c r="AG42" s="44">
        <v>402</v>
      </c>
      <c r="AH42" s="44">
        <v>290</v>
      </c>
      <c r="AI42" s="44">
        <v>380</v>
      </c>
      <c r="AJ42" s="44">
        <v>2500</v>
      </c>
      <c r="AK42" s="44">
        <v>2094.59</v>
      </c>
      <c r="AL42" s="44">
        <v>2923.08</v>
      </c>
      <c r="AM42" s="44">
        <v>2200</v>
      </c>
      <c r="AN42" s="44">
        <v>2000</v>
      </c>
      <c r="AO42" s="44">
        <v>2200</v>
      </c>
      <c r="AP42" s="44">
        <v>2700</v>
      </c>
      <c r="AQ42" s="44">
        <v>2500</v>
      </c>
      <c r="AR42" s="44">
        <v>2600</v>
      </c>
    </row>
    <row r="43" spans="1:44" ht="14.25" customHeight="1" x14ac:dyDescent="0.25">
      <c r="A43" s="44"/>
      <c r="B43" s="44" t="s">
        <v>27</v>
      </c>
      <c r="C43" s="44">
        <v>180000</v>
      </c>
      <c r="D43" s="44">
        <v>145000</v>
      </c>
      <c r="E43" s="44">
        <v>155000</v>
      </c>
      <c r="F43" s="44">
        <v>150000</v>
      </c>
      <c r="G43" s="44">
        <v>160000</v>
      </c>
      <c r="H43" s="44">
        <v>140000</v>
      </c>
      <c r="I43" s="44">
        <v>155000</v>
      </c>
      <c r="J43" s="44">
        <v>130000</v>
      </c>
      <c r="K43" s="44">
        <v>125000</v>
      </c>
      <c r="L43" s="44">
        <v>55</v>
      </c>
      <c r="M43" s="44">
        <v>61</v>
      </c>
      <c r="N43" s="44">
        <v>44</v>
      </c>
      <c r="O43" s="44">
        <v>30</v>
      </c>
      <c r="P43" s="44">
        <v>30</v>
      </c>
      <c r="Q43" s="44">
        <v>25</v>
      </c>
      <c r="R43" s="44">
        <v>31</v>
      </c>
      <c r="S43" s="44">
        <v>25</v>
      </c>
      <c r="T43" s="44">
        <v>20</v>
      </c>
      <c r="U43" s="44">
        <v>25</v>
      </c>
      <c r="V43" s="44">
        <v>21</v>
      </c>
      <c r="W43" s="44">
        <v>22</v>
      </c>
      <c r="X43" s="44">
        <v>9500</v>
      </c>
      <c r="Y43" s="44">
        <v>10200</v>
      </c>
      <c r="Z43" s="44">
        <v>8000</v>
      </c>
      <c r="AA43" s="44">
        <v>306.45</v>
      </c>
      <c r="AB43" s="44">
        <v>408</v>
      </c>
      <c r="AC43" s="44">
        <v>400</v>
      </c>
      <c r="AD43" s="44">
        <v>400</v>
      </c>
      <c r="AE43" s="44">
        <v>350</v>
      </c>
      <c r="AF43" s="44">
        <v>350</v>
      </c>
      <c r="AG43" s="44">
        <v>350</v>
      </c>
      <c r="AH43" s="44">
        <v>385</v>
      </c>
      <c r="AI43" s="44">
        <v>352</v>
      </c>
      <c r="AJ43" s="44">
        <v>3272.73</v>
      </c>
      <c r="AK43" s="44">
        <v>2377.0500000000002</v>
      </c>
      <c r="AL43" s="44">
        <v>3522.73</v>
      </c>
      <c r="AM43" s="44">
        <v>3000</v>
      </c>
      <c r="AN43" s="44">
        <v>2200</v>
      </c>
      <c r="AO43" s="44">
        <v>2100</v>
      </c>
      <c r="AP43" s="44">
        <v>2700</v>
      </c>
      <c r="AQ43" s="44">
        <v>2500</v>
      </c>
      <c r="AR43" s="44">
        <v>2600</v>
      </c>
    </row>
    <row r="44" spans="1:44" ht="14.25" customHeight="1" x14ac:dyDescent="0.25">
      <c r="A44" s="44"/>
      <c r="B44" s="44" t="s">
        <v>28</v>
      </c>
      <c r="C44" s="44">
        <v>160000</v>
      </c>
      <c r="D44" s="44">
        <v>180000</v>
      </c>
      <c r="E44" s="44">
        <v>175000</v>
      </c>
      <c r="F44" s="44">
        <v>150000</v>
      </c>
      <c r="G44" s="44">
        <v>160000</v>
      </c>
      <c r="H44" s="44">
        <v>140000</v>
      </c>
      <c r="I44" s="44">
        <v>145000</v>
      </c>
      <c r="J44" s="44">
        <v>140000</v>
      </c>
      <c r="K44" s="44">
        <v>160000</v>
      </c>
      <c r="L44" s="44">
        <v>68</v>
      </c>
      <c r="M44" s="44">
        <v>63</v>
      </c>
      <c r="N44" s="44">
        <v>50</v>
      </c>
      <c r="O44" s="44">
        <v>30</v>
      </c>
      <c r="P44" s="44">
        <v>30</v>
      </c>
      <c r="Q44" s="44">
        <v>25</v>
      </c>
      <c r="R44" s="44">
        <v>28</v>
      </c>
      <c r="S44" s="44">
        <v>15</v>
      </c>
      <c r="T44" s="44">
        <v>14</v>
      </c>
      <c r="U44" s="44">
        <v>17</v>
      </c>
      <c r="V44" s="44">
        <v>18</v>
      </c>
      <c r="W44" s="44">
        <v>21</v>
      </c>
      <c r="X44" s="44">
        <v>9000</v>
      </c>
      <c r="Y44" s="44">
        <v>5600</v>
      </c>
      <c r="Z44" s="44">
        <v>7000</v>
      </c>
      <c r="AA44" s="44">
        <v>321.43</v>
      </c>
      <c r="AB44" s="44">
        <v>373.33</v>
      </c>
      <c r="AC44" s="44">
        <v>500</v>
      </c>
      <c r="AD44" s="44">
        <v>400</v>
      </c>
      <c r="AE44" s="44">
        <v>350</v>
      </c>
      <c r="AF44" s="44">
        <v>350</v>
      </c>
      <c r="AG44" s="44">
        <v>350</v>
      </c>
      <c r="AH44" s="44">
        <v>360</v>
      </c>
      <c r="AI44" s="44">
        <v>388</v>
      </c>
      <c r="AJ44" s="44">
        <v>2352.94</v>
      </c>
      <c r="AK44" s="44">
        <v>2857.14</v>
      </c>
      <c r="AL44" s="44">
        <v>3500</v>
      </c>
      <c r="AM44" s="44">
        <v>2200</v>
      </c>
      <c r="AN44" s="44">
        <v>2450</v>
      </c>
      <c r="AO44" s="44">
        <v>3300</v>
      </c>
      <c r="AP44" s="44">
        <v>2700</v>
      </c>
      <c r="AQ44" s="44">
        <v>2500</v>
      </c>
      <c r="AR44" s="44">
        <v>2600</v>
      </c>
    </row>
    <row r="45" spans="1:44" ht="14.25" customHeight="1" x14ac:dyDescent="0.25">
      <c r="A45" s="44"/>
      <c r="B45" s="44" t="s">
        <v>29</v>
      </c>
      <c r="C45" s="44">
        <v>205000</v>
      </c>
      <c r="D45" s="44">
        <v>195000</v>
      </c>
      <c r="E45" s="44">
        <v>125000</v>
      </c>
      <c r="F45" s="44">
        <v>150000</v>
      </c>
      <c r="G45" s="44">
        <v>160000</v>
      </c>
      <c r="H45" s="44">
        <v>140000</v>
      </c>
      <c r="I45" s="44">
        <v>125000</v>
      </c>
      <c r="J45" s="44">
        <v>150000</v>
      </c>
      <c r="K45" s="44">
        <v>145000</v>
      </c>
      <c r="L45" s="44">
        <v>62</v>
      </c>
      <c r="M45" s="44">
        <v>51</v>
      </c>
      <c r="N45" s="44">
        <v>35</v>
      </c>
      <c r="O45" s="44">
        <v>30</v>
      </c>
      <c r="P45" s="44">
        <v>30</v>
      </c>
      <c r="Q45" s="44">
        <v>25</v>
      </c>
      <c r="R45" s="44">
        <v>25</v>
      </c>
      <c r="S45" s="44">
        <v>18</v>
      </c>
      <c r="T45" s="44">
        <v>20</v>
      </c>
      <c r="U45" s="44">
        <v>20</v>
      </c>
      <c r="V45" s="44">
        <v>13</v>
      </c>
      <c r="W45" s="44">
        <v>20</v>
      </c>
      <c r="X45" s="44">
        <v>10800</v>
      </c>
      <c r="Y45" s="44">
        <v>9500</v>
      </c>
      <c r="Z45" s="44">
        <v>9000</v>
      </c>
      <c r="AA45" s="44">
        <v>432</v>
      </c>
      <c r="AB45" s="44">
        <v>527.78</v>
      </c>
      <c r="AC45" s="44">
        <v>450</v>
      </c>
      <c r="AD45" s="44">
        <v>400</v>
      </c>
      <c r="AE45" s="44">
        <v>350</v>
      </c>
      <c r="AF45" s="44">
        <v>350</v>
      </c>
      <c r="AG45" s="44">
        <v>385</v>
      </c>
      <c r="AH45" s="44">
        <v>350</v>
      </c>
      <c r="AI45" s="44">
        <v>406</v>
      </c>
      <c r="AJ45" s="44">
        <v>3306.45</v>
      </c>
      <c r="AK45" s="44">
        <v>3823.53</v>
      </c>
      <c r="AL45" s="44">
        <v>3571.43</v>
      </c>
      <c r="AM45" s="44">
        <v>2900</v>
      </c>
      <c r="AN45" s="44">
        <v>3100</v>
      </c>
      <c r="AO45" s="44">
        <v>3100</v>
      </c>
      <c r="AP45" s="44">
        <v>2700</v>
      </c>
      <c r="AQ45" s="44">
        <v>2500</v>
      </c>
      <c r="AR45" s="44">
        <v>2600</v>
      </c>
    </row>
    <row r="46" spans="1:44" ht="14.25" customHeight="1" x14ac:dyDescent="0.25">
      <c r="A46" s="45"/>
      <c r="B46" s="45" t="s">
        <v>30</v>
      </c>
      <c r="C46" s="45">
        <f t="shared" ref="C46:Z46" si="2">SUM(C41:C45)</f>
        <v>850000</v>
      </c>
      <c r="D46" s="45">
        <f t="shared" si="2"/>
        <v>810000</v>
      </c>
      <c r="E46" s="45">
        <f t="shared" si="2"/>
        <v>795000</v>
      </c>
      <c r="F46" s="45">
        <f t="shared" si="2"/>
        <v>750000</v>
      </c>
      <c r="G46" s="45">
        <f t="shared" si="2"/>
        <v>800000</v>
      </c>
      <c r="H46" s="45">
        <f t="shared" si="2"/>
        <v>700000</v>
      </c>
      <c r="I46" s="45">
        <f t="shared" si="2"/>
        <v>695000</v>
      </c>
      <c r="J46" s="45">
        <f t="shared" si="2"/>
        <v>705000</v>
      </c>
      <c r="K46" s="45">
        <f t="shared" si="2"/>
        <v>690000</v>
      </c>
      <c r="L46" s="45">
        <f t="shared" si="2"/>
        <v>313</v>
      </c>
      <c r="M46" s="45">
        <f t="shared" si="2"/>
        <v>312</v>
      </c>
      <c r="N46" s="45">
        <f t="shared" si="2"/>
        <v>249</v>
      </c>
      <c r="O46" s="45">
        <f t="shared" si="2"/>
        <v>150</v>
      </c>
      <c r="P46" s="45">
        <f t="shared" si="2"/>
        <v>150</v>
      </c>
      <c r="Q46" s="45">
        <f t="shared" si="2"/>
        <v>125</v>
      </c>
      <c r="R46" s="45">
        <f t="shared" si="2"/>
        <v>122</v>
      </c>
      <c r="S46" s="45">
        <f t="shared" si="2"/>
        <v>101</v>
      </c>
      <c r="T46" s="45">
        <f t="shared" si="2"/>
        <v>88</v>
      </c>
      <c r="U46" s="45">
        <f t="shared" si="2"/>
        <v>90</v>
      </c>
      <c r="V46" s="45">
        <f t="shared" si="2"/>
        <v>91</v>
      </c>
      <c r="W46" s="45">
        <f t="shared" si="2"/>
        <v>92</v>
      </c>
      <c r="X46" s="45">
        <f t="shared" si="2"/>
        <v>44100</v>
      </c>
      <c r="Y46" s="45">
        <f t="shared" si="2"/>
        <v>39600</v>
      </c>
      <c r="Z46" s="45">
        <f t="shared" si="2"/>
        <v>35500</v>
      </c>
      <c r="AA46" s="45">
        <f t="shared" ref="AA46:AR46" si="3">AVERAGE(AA41:AA45)</f>
        <v>370.69400000000002</v>
      </c>
      <c r="AB46" s="45">
        <f t="shared" si="3"/>
        <v>406.71</v>
      </c>
      <c r="AC46" s="45">
        <f t="shared" si="3"/>
        <v>417.43199999999996</v>
      </c>
      <c r="AD46" s="45">
        <f t="shared" si="3"/>
        <v>400</v>
      </c>
      <c r="AE46" s="45">
        <f t="shared" si="3"/>
        <v>350</v>
      </c>
      <c r="AF46" s="45">
        <f t="shared" si="3"/>
        <v>350</v>
      </c>
      <c r="AG46" s="45">
        <f t="shared" si="3"/>
        <v>377.4</v>
      </c>
      <c r="AH46" s="45">
        <f t="shared" si="3"/>
        <v>354</v>
      </c>
      <c r="AI46" s="45">
        <f t="shared" si="3"/>
        <v>383.2</v>
      </c>
      <c r="AJ46" s="45">
        <f t="shared" si="3"/>
        <v>2700.2179999999998</v>
      </c>
      <c r="AK46" s="45">
        <f t="shared" si="3"/>
        <v>2659.0340000000006</v>
      </c>
      <c r="AL46" s="45">
        <f t="shared" si="3"/>
        <v>3248.902</v>
      </c>
      <c r="AM46" s="45">
        <f t="shared" si="3"/>
        <v>2480</v>
      </c>
      <c r="AN46" s="45">
        <f t="shared" si="3"/>
        <v>2350</v>
      </c>
      <c r="AO46" s="45">
        <f t="shared" si="3"/>
        <v>2660</v>
      </c>
      <c r="AP46" s="45">
        <f t="shared" si="3"/>
        <v>2700</v>
      </c>
      <c r="AQ46" s="45">
        <f t="shared" si="3"/>
        <v>2500</v>
      </c>
      <c r="AR46" s="45">
        <f t="shared" si="3"/>
        <v>2600</v>
      </c>
    </row>
    <row r="47" spans="1:44" ht="14.25" customHeight="1" x14ac:dyDescent="0.25">
      <c r="A47" s="1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</row>
    <row r="48" spans="1:44" ht="14.25" customHeight="1" x14ac:dyDescent="0.25">
      <c r="A48" s="37"/>
      <c r="B48" s="38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8"/>
    </row>
    <row r="49" spans="1:44" ht="14.25" customHeight="1" x14ac:dyDescent="0.25">
      <c r="A49" s="37"/>
      <c r="B49" s="38"/>
      <c r="C49" s="61" t="s">
        <v>43</v>
      </c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3"/>
    </row>
    <row r="50" spans="1:44" ht="14.25" customHeight="1" x14ac:dyDescent="0.25">
      <c r="A50" s="37"/>
      <c r="B50" s="38"/>
      <c r="C50" s="40" t="s">
        <v>44</v>
      </c>
      <c r="D50" s="40" t="s">
        <v>45</v>
      </c>
      <c r="E50" s="41" t="s">
        <v>46</v>
      </c>
      <c r="F50" s="40" t="s">
        <v>44</v>
      </c>
      <c r="G50" s="40" t="s">
        <v>45</v>
      </c>
      <c r="H50" s="41" t="s">
        <v>46</v>
      </c>
      <c r="I50" s="40" t="s">
        <v>44</v>
      </c>
      <c r="J50" s="40" t="s">
        <v>45</v>
      </c>
      <c r="K50" s="41" t="s">
        <v>46</v>
      </c>
      <c r="L50" s="40" t="s">
        <v>44</v>
      </c>
      <c r="M50" s="40" t="s">
        <v>45</v>
      </c>
      <c r="N50" s="41" t="s">
        <v>46</v>
      </c>
      <c r="O50" s="40" t="s">
        <v>44</v>
      </c>
      <c r="P50" s="40" t="s">
        <v>45</v>
      </c>
      <c r="Q50" s="41" t="s">
        <v>46</v>
      </c>
      <c r="R50" s="40" t="s">
        <v>44</v>
      </c>
      <c r="S50" s="40" t="s">
        <v>45</v>
      </c>
      <c r="T50" s="41" t="s">
        <v>46</v>
      </c>
      <c r="U50" s="40" t="s">
        <v>44</v>
      </c>
      <c r="V50" s="40" t="s">
        <v>45</v>
      </c>
      <c r="W50" s="41" t="s">
        <v>46</v>
      </c>
      <c r="X50" s="40" t="s">
        <v>44</v>
      </c>
      <c r="Y50" s="40" t="s">
        <v>45</v>
      </c>
      <c r="Z50" s="41" t="s">
        <v>46</v>
      </c>
      <c r="AA50" s="40" t="s">
        <v>44</v>
      </c>
      <c r="AB50" s="40" t="s">
        <v>45</v>
      </c>
      <c r="AC50" s="41" t="s">
        <v>46</v>
      </c>
      <c r="AD50" s="40" t="s">
        <v>44</v>
      </c>
      <c r="AE50" s="40" t="s">
        <v>45</v>
      </c>
      <c r="AF50" s="41" t="s">
        <v>46</v>
      </c>
      <c r="AG50" s="40" t="s">
        <v>44</v>
      </c>
      <c r="AH50" s="40" t="s">
        <v>45</v>
      </c>
      <c r="AI50" s="41" t="s">
        <v>46</v>
      </c>
      <c r="AJ50" s="40" t="s">
        <v>44</v>
      </c>
      <c r="AK50" s="40" t="s">
        <v>45</v>
      </c>
      <c r="AL50" s="41" t="s">
        <v>46</v>
      </c>
      <c r="AM50" s="40" t="s">
        <v>44</v>
      </c>
      <c r="AN50" s="40" t="s">
        <v>45</v>
      </c>
      <c r="AO50" s="41" t="s">
        <v>46</v>
      </c>
      <c r="AP50" s="40" t="s">
        <v>44</v>
      </c>
      <c r="AQ50" s="40" t="s">
        <v>45</v>
      </c>
      <c r="AR50" s="41" t="s">
        <v>46</v>
      </c>
    </row>
    <row r="51" spans="1:44" ht="14.25" customHeight="1" x14ac:dyDescent="0.25">
      <c r="A51" s="37"/>
      <c r="B51" s="38"/>
      <c r="C51" s="42" t="s">
        <v>11</v>
      </c>
      <c r="D51" s="42" t="s">
        <v>11</v>
      </c>
      <c r="E51" s="43" t="s">
        <v>11</v>
      </c>
      <c r="F51" s="42" t="s">
        <v>12</v>
      </c>
      <c r="G51" s="42" t="s">
        <v>12</v>
      </c>
      <c r="H51" s="43" t="s">
        <v>12</v>
      </c>
      <c r="I51" s="42" t="s">
        <v>13</v>
      </c>
      <c r="J51" s="42" t="s">
        <v>13</v>
      </c>
      <c r="K51" s="43" t="s">
        <v>13</v>
      </c>
      <c r="L51" s="42" t="s">
        <v>14</v>
      </c>
      <c r="M51" s="42" t="s">
        <v>14</v>
      </c>
      <c r="N51" s="43" t="s">
        <v>14</v>
      </c>
      <c r="O51" s="42" t="s">
        <v>15</v>
      </c>
      <c r="P51" s="42" t="s">
        <v>15</v>
      </c>
      <c r="Q51" s="43" t="s">
        <v>15</v>
      </c>
      <c r="R51" s="42" t="s">
        <v>16</v>
      </c>
      <c r="S51" s="42" t="s">
        <v>16</v>
      </c>
      <c r="T51" s="43" t="s">
        <v>16</v>
      </c>
      <c r="U51" s="42" t="s">
        <v>17</v>
      </c>
      <c r="V51" s="42" t="s">
        <v>17</v>
      </c>
      <c r="W51" s="43" t="s">
        <v>17</v>
      </c>
      <c r="X51" s="42" t="s">
        <v>18</v>
      </c>
      <c r="Y51" s="42" t="s">
        <v>18</v>
      </c>
      <c r="Z51" s="43" t="s">
        <v>18</v>
      </c>
      <c r="AA51" s="42" t="s">
        <v>19</v>
      </c>
      <c r="AB51" s="42" t="s">
        <v>19</v>
      </c>
      <c r="AC51" s="43" t="s">
        <v>19</v>
      </c>
      <c r="AD51" s="42" t="s">
        <v>20</v>
      </c>
      <c r="AE51" s="42" t="s">
        <v>20</v>
      </c>
      <c r="AF51" s="43" t="s">
        <v>20</v>
      </c>
      <c r="AG51" s="42" t="s">
        <v>21</v>
      </c>
      <c r="AH51" s="42" t="s">
        <v>21</v>
      </c>
      <c r="AI51" s="43" t="s">
        <v>21</v>
      </c>
      <c r="AJ51" s="42" t="s">
        <v>22</v>
      </c>
      <c r="AK51" s="42" t="s">
        <v>22</v>
      </c>
      <c r="AL51" s="43" t="s">
        <v>22</v>
      </c>
      <c r="AM51" s="42" t="s">
        <v>23</v>
      </c>
      <c r="AN51" s="42" t="s">
        <v>23</v>
      </c>
      <c r="AO51" s="43" t="s">
        <v>23</v>
      </c>
      <c r="AP51" s="42" t="s">
        <v>24</v>
      </c>
      <c r="AQ51" s="42" t="s">
        <v>24</v>
      </c>
      <c r="AR51" s="43" t="s">
        <v>24</v>
      </c>
    </row>
    <row r="52" spans="1:44" ht="14.25" customHeight="1" x14ac:dyDescent="0.25">
      <c r="A52" s="44"/>
      <c r="B52" s="44" t="s">
        <v>25</v>
      </c>
      <c r="C52" s="44">
        <v>150000</v>
      </c>
      <c r="D52" s="44">
        <v>145000</v>
      </c>
      <c r="E52" s="44">
        <v>145000</v>
      </c>
      <c r="F52" s="44">
        <v>160000</v>
      </c>
      <c r="G52" s="44">
        <v>145000</v>
      </c>
      <c r="H52" s="44">
        <v>160000</v>
      </c>
      <c r="I52" s="44">
        <v>160000</v>
      </c>
      <c r="J52" s="44">
        <v>125000</v>
      </c>
      <c r="K52" s="44">
        <v>145000</v>
      </c>
      <c r="L52" s="44">
        <v>55</v>
      </c>
      <c r="M52" s="44">
        <v>55</v>
      </c>
      <c r="N52" s="44">
        <v>60</v>
      </c>
      <c r="O52" s="44">
        <v>20</v>
      </c>
      <c r="P52" s="44">
        <v>25</v>
      </c>
      <c r="Q52" s="44">
        <v>35</v>
      </c>
      <c r="R52" s="44">
        <v>14</v>
      </c>
      <c r="S52" s="44">
        <v>18</v>
      </c>
      <c r="T52" s="44">
        <v>17</v>
      </c>
      <c r="U52" s="44">
        <v>21</v>
      </c>
      <c r="V52" s="44">
        <v>15</v>
      </c>
      <c r="W52" s="44">
        <v>11</v>
      </c>
      <c r="X52" s="44">
        <v>8000</v>
      </c>
      <c r="Y52" s="44">
        <v>6000</v>
      </c>
      <c r="Z52" s="44">
        <v>4000</v>
      </c>
      <c r="AA52" s="44">
        <v>571.42999999999995</v>
      </c>
      <c r="AB52" s="44">
        <v>333.33</v>
      </c>
      <c r="AC52" s="44">
        <v>235.29</v>
      </c>
      <c r="AD52" s="44">
        <v>350</v>
      </c>
      <c r="AE52" s="44">
        <v>450</v>
      </c>
      <c r="AF52" s="44">
        <v>350</v>
      </c>
      <c r="AG52" s="44">
        <v>400</v>
      </c>
      <c r="AH52" s="44">
        <v>385</v>
      </c>
      <c r="AI52" s="44">
        <v>390</v>
      </c>
      <c r="AJ52" s="44">
        <v>2909.09</v>
      </c>
      <c r="AK52" s="44">
        <v>2636.36</v>
      </c>
      <c r="AL52" s="44">
        <v>2416.67</v>
      </c>
      <c r="AM52" s="44">
        <v>2800</v>
      </c>
      <c r="AN52" s="44">
        <v>2500</v>
      </c>
      <c r="AO52" s="44">
        <v>2300</v>
      </c>
      <c r="AP52" s="44">
        <v>2200</v>
      </c>
      <c r="AQ52" s="44">
        <v>2300</v>
      </c>
      <c r="AR52" s="44">
        <v>2500</v>
      </c>
    </row>
    <row r="53" spans="1:44" ht="14.25" customHeight="1" x14ac:dyDescent="0.25">
      <c r="A53" s="44"/>
      <c r="B53" s="44" t="s">
        <v>26</v>
      </c>
      <c r="C53" s="44">
        <v>185000</v>
      </c>
      <c r="D53" s="44">
        <v>150000</v>
      </c>
      <c r="E53" s="44">
        <v>185000</v>
      </c>
      <c r="F53" s="44">
        <v>160000</v>
      </c>
      <c r="G53" s="44">
        <v>145000</v>
      </c>
      <c r="H53" s="44">
        <v>160000</v>
      </c>
      <c r="I53" s="44">
        <v>125000</v>
      </c>
      <c r="J53" s="44">
        <v>130000</v>
      </c>
      <c r="K53" s="44">
        <v>120000</v>
      </c>
      <c r="L53" s="44">
        <v>56</v>
      </c>
      <c r="M53" s="44">
        <v>45</v>
      </c>
      <c r="N53" s="44">
        <v>65</v>
      </c>
      <c r="O53" s="44">
        <v>20</v>
      </c>
      <c r="P53" s="44">
        <v>25</v>
      </c>
      <c r="Q53" s="44">
        <v>35</v>
      </c>
      <c r="R53" s="44">
        <v>15</v>
      </c>
      <c r="S53" s="44">
        <v>25</v>
      </c>
      <c r="T53" s="44">
        <v>25</v>
      </c>
      <c r="U53" s="44">
        <v>14</v>
      </c>
      <c r="V53" s="44">
        <v>22</v>
      </c>
      <c r="W53" s="44">
        <v>12</v>
      </c>
      <c r="X53" s="44">
        <v>5500</v>
      </c>
      <c r="Y53" s="44">
        <v>8500</v>
      </c>
      <c r="Z53" s="44">
        <v>5000</v>
      </c>
      <c r="AA53" s="44">
        <v>366.67</v>
      </c>
      <c r="AB53" s="44">
        <v>340</v>
      </c>
      <c r="AC53" s="44">
        <v>200</v>
      </c>
      <c r="AD53" s="44">
        <v>350</v>
      </c>
      <c r="AE53" s="44">
        <v>450</v>
      </c>
      <c r="AF53" s="44">
        <v>350</v>
      </c>
      <c r="AG53" s="44">
        <v>380</v>
      </c>
      <c r="AH53" s="44">
        <v>400</v>
      </c>
      <c r="AI53" s="44">
        <v>388</v>
      </c>
      <c r="AJ53" s="44">
        <v>3303.57</v>
      </c>
      <c r="AK53" s="44">
        <v>3333.33</v>
      </c>
      <c r="AL53" s="44">
        <v>2846.15</v>
      </c>
      <c r="AM53" s="44">
        <v>2500</v>
      </c>
      <c r="AN53" s="44">
        <v>3000</v>
      </c>
      <c r="AO53" s="44">
        <v>2000</v>
      </c>
      <c r="AP53" s="44">
        <v>2200</v>
      </c>
      <c r="AQ53" s="44">
        <v>2300</v>
      </c>
      <c r="AR53" s="44">
        <v>2500</v>
      </c>
    </row>
    <row r="54" spans="1:44" ht="14.25" customHeight="1" x14ac:dyDescent="0.25">
      <c r="A54" s="44"/>
      <c r="B54" s="44" t="s">
        <v>27</v>
      </c>
      <c r="C54" s="44">
        <v>150000</v>
      </c>
      <c r="D54" s="44">
        <v>125000</v>
      </c>
      <c r="E54" s="44">
        <v>120000</v>
      </c>
      <c r="F54" s="44">
        <v>160000</v>
      </c>
      <c r="G54" s="44">
        <v>145000</v>
      </c>
      <c r="H54" s="44">
        <v>160000</v>
      </c>
      <c r="I54" s="44">
        <v>130000</v>
      </c>
      <c r="J54" s="44">
        <v>150000</v>
      </c>
      <c r="K54" s="44">
        <v>125000</v>
      </c>
      <c r="L54" s="44">
        <v>56</v>
      </c>
      <c r="M54" s="44">
        <v>65</v>
      </c>
      <c r="N54" s="44">
        <v>50</v>
      </c>
      <c r="O54" s="44">
        <v>20</v>
      </c>
      <c r="P54" s="44">
        <v>25</v>
      </c>
      <c r="Q54" s="44">
        <v>35</v>
      </c>
      <c r="R54" s="44">
        <v>22</v>
      </c>
      <c r="S54" s="44">
        <v>17</v>
      </c>
      <c r="T54" s="44">
        <v>17</v>
      </c>
      <c r="U54" s="44">
        <v>25</v>
      </c>
      <c r="V54" s="44">
        <v>17</v>
      </c>
      <c r="W54" s="44">
        <v>21</v>
      </c>
      <c r="X54" s="44">
        <v>9000</v>
      </c>
      <c r="Y54" s="44">
        <v>6500</v>
      </c>
      <c r="Z54" s="44">
        <v>6500</v>
      </c>
      <c r="AA54" s="44">
        <v>409.09</v>
      </c>
      <c r="AB54" s="44">
        <v>382.35</v>
      </c>
      <c r="AC54" s="44">
        <v>382.35</v>
      </c>
      <c r="AD54" s="44">
        <v>350</v>
      </c>
      <c r="AE54" s="44">
        <v>450</v>
      </c>
      <c r="AF54" s="44">
        <v>350</v>
      </c>
      <c r="AG54" s="44">
        <v>365</v>
      </c>
      <c r="AH54" s="44">
        <v>350</v>
      </c>
      <c r="AI54" s="44">
        <v>352</v>
      </c>
      <c r="AJ54" s="44">
        <v>2678.57</v>
      </c>
      <c r="AK54" s="44">
        <v>1923.08</v>
      </c>
      <c r="AL54" s="44">
        <v>2400</v>
      </c>
      <c r="AM54" s="44">
        <v>2600</v>
      </c>
      <c r="AN54" s="44">
        <v>1800</v>
      </c>
      <c r="AO54" s="44">
        <v>2200</v>
      </c>
      <c r="AP54" s="44">
        <v>2200</v>
      </c>
      <c r="AQ54" s="44">
        <v>2300</v>
      </c>
      <c r="AR54" s="44">
        <v>2500</v>
      </c>
    </row>
    <row r="55" spans="1:44" ht="14.25" customHeight="1" x14ac:dyDescent="0.25">
      <c r="A55" s="44"/>
      <c r="B55" s="44" t="s">
        <v>28</v>
      </c>
      <c r="C55" s="44">
        <v>155000</v>
      </c>
      <c r="D55" s="44">
        <v>155000</v>
      </c>
      <c r="E55" s="44">
        <v>155000</v>
      </c>
      <c r="F55" s="44">
        <v>160000</v>
      </c>
      <c r="G55" s="44">
        <v>145000</v>
      </c>
      <c r="H55" s="44">
        <v>160000</v>
      </c>
      <c r="I55" s="44">
        <v>150000</v>
      </c>
      <c r="J55" s="44">
        <v>155000</v>
      </c>
      <c r="K55" s="44">
        <v>160000</v>
      </c>
      <c r="L55" s="44">
        <v>62</v>
      </c>
      <c r="M55" s="44">
        <v>52</v>
      </c>
      <c r="N55" s="44">
        <v>52</v>
      </c>
      <c r="O55" s="44">
        <v>20</v>
      </c>
      <c r="P55" s="44">
        <v>25</v>
      </c>
      <c r="Q55" s="44">
        <v>35</v>
      </c>
      <c r="R55" s="44">
        <v>21</v>
      </c>
      <c r="S55" s="44">
        <v>24</v>
      </c>
      <c r="T55" s="44">
        <v>22</v>
      </c>
      <c r="U55" s="44">
        <v>17</v>
      </c>
      <c r="V55" s="44">
        <v>16</v>
      </c>
      <c r="W55" s="44">
        <v>23</v>
      </c>
      <c r="X55" s="44">
        <v>6200</v>
      </c>
      <c r="Y55" s="44">
        <v>6300</v>
      </c>
      <c r="Z55" s="44">
        <v>9000</v>
      </c>
      <c r="AA55" s="44">
        <v>295.24</v>
      </c>
      <c r="AB55" s="44">
        <v>262.5</v>
      </c>
      <c r="AC55" s="44">
        <v>409.09</v>
      </c>
      <c r="AD55" s="44">
        <v>350</v>
      </c>
      <c r="AE55" s="44">
        <v>450</v>
      </c>
      <c r="AF55" s="44">
        <v>350</v>
      </c>
      <c r="AG55" s="44">
        <v>405</v>
      </c>
      <c r="AH55" s="44">
        <v>370</v>
      </c>
      <c r="AI55" s="44">
        <v>350</v>
      </c>
      <c r="AJ55" s="44">
        <v>2500</v>
      </c>
      <c r="AK55" s="44">
        <v>2980.77</v>
      </c>
      <c r="AL55" s="44">
        <v>2980.77</v>
      </c>
      <c r="AM55" s="44">
        <v>2400</v>
      </c>
      <c r="AN55" s="44">
        <v>2800</v>
      </c>
      <c r="AO55" s="44">
        <v>2890</v>
      </c>
      <c r="AP55" s="44">
        <v>2200</v>
      </c>
      <c r="AQ55" s="44">
        <v>2300</v>
      </c>
      <c r="AR55" s="44">
        <v>2500</v>
      </c>
    </row>
    <row r="56" spans="1:44" ht="14.25" customHeight="1" x14ac:dyDescent="0.25">
      <c r="A56" s="44"/>
      <c r="B56" s="44" t="s">
        <v>29</v>
      </c>
      <c r="C56" s="44">
        <v>140000</v>
      </c>
      <c r="D56" s="44">
        <v>170000</v>
      </c>
      <c r="E56" s="44">
        <v>155000</v>
      </c>
      <c r="F56" s="44">
        <v>160000</v>
      </c>
      <c r="G56" s="44">
        <v>145000</v>
      </c>
      <c r="H56" s="44">
        <v>160000</v>
      </c>
      <c r="I56" s="44">
        <v>150000</v>
      </c>
      <c r="J56" s="44">
        <v>180000</v>
      </c>
      <c r="K56" s="44">
        <v>140000</v>
      </c>
      <c r="L56" s="44">
        <v>65</v>
      </c>
      <c r="M56" s="44">
        <v>50</v>
      </c>
      <c r="N56" s="44">
        <v>70</v>
      </c>
      <c r="O56" s="44">
        <v>20</v>
      </c>
      <c r="P56" s="44">
        <v>25</v>
      </c>
      <c r="Q56" s="44">
        <v>35</v>
      </c>
      <c r="R56" s="44">
        <v>30</v>
      </c>
      <c r="S56" s="44">
        <v>16</v>
      </c>
      <c r="T56" s="44">
        <v>18</v>
      </c>
      <c r="U56" s="44">
        <v>25</v>
      </c>
      <c r="V56" s="44">
        <v>21</v>
      </c>
      <c r="W56" s="44">
        <v>20</v>
      </c>
      <c r="X56" s="44">
        <v>9800</v>
      </c>
      <c r="Y56" s="44">
        <v>8000</v>
      </c>
      <c r="Z56" s="44">
        <v>7500</v>
      </c>
      <c r="AA56" s="44">
        <v>326.67</v>
      </c>
      <c r="AB56" s="44">
        <v>500</v>
      </c>
      <c r="AC56" s="44">
        <v>416.67</v>
      </c>
      <c r="AD56" s="44">
        <v>350</v>
      </c>
      <c r="AE56" s="44">
        <v>450</v>
      </c>
      <c r="AF56" s="44">
        <v>350</v>
      </c>
      <c r="AG56" s="44">
        <v>385</v>
      </c>
      <c r="AH56" s="44">
        <v>350</v>
      </c>
      <c r="AI56" s="44">
        <v>410</v>
      </c>
      <c r="AJ56" s="44">
        <v>2153.85</v>
      </c>
      <c r="AK56" s="44">
        <v>3400</v>
      </c>
      <c r="AL56" s="44">
        <v>2214.29</v>
      </c>
      <c r="AM56" s="44">
        <v>1900</v>
      </c>
      <c r="AN56" s="44">
        <v>3000</v>
      </c>
      <c r="AO56" s="44">
        <v>2100</v>
      </c>
      <c r="AP56" s="44">
        <v>2200</v>
      </c>
      <c r="AQ56" s="44">
        <v>2300</v>
      </c>
      <c r="AR56" s="44">
        <v>2500</v>
      </c>
    </row>
    <row r="57" spans="1:44" ht="14.25" customHeight="1" x14ac:dyDescent="0.25">
      <c r="A57" s="45"/>
      <c r="B57" s="45" t="s">
        <v>30</v>
      </c>
      <c r="C57" s="45">
        <f t="shared" ref="C57:Z57" si="4">SUM(C52:C56)</f>
        <v>780000</v>
      </c>
      <c r="D57" s="45">
        <f t="shared" si="4"/>
        <v>745000</v>
      </c>
      <c r="E57" s="45">
        <f t="shared" si="4"/>
        <v>760000</v>
      </c>
      <c r="F57" s="45">
        <f t="shared" si="4"/>
        <v>800000</v>
      </c>
      <c r="G57" s="45">
        <f t="shared" si="4"/>
        <v>725000</v>
      </c>
      <c r="H57" s="45">
        <f t="shared" si="4"/>
        <v>800000</v>
      </c>
      <c r="I57" s="45">
        <f t="shared" si="4"/>
        <v>715000</v>
      </c>
      <c r="J57" s="45">
        <f t="shared" si="4"/>
        <v>740000</v>
      </c>
      <c r="K57" s="45">
        <f t="shared" si="4"/>
        <v>690000</v>
      </c>
      <c r="L57" s="45">
        <f t="shared" si="4"/>
        <v>294</v>
      </c>
      <c r="M57" s="45">
        <f t="shared" si="4"/>
        <v>267</v>
      </c>
      <c r="N57" s="45">
        <f t="shared" si="4"/>
        <v>297</v>
      </c>
      <c r="O57" s="45">
        <f t="shared" si="4"/>
        <v>100</v>
      </c>
      <c r="P57" s="45">
        <f t="shared" si="4"/>
        <v>125</v>
      </c>
      <c r="Q57" s="45">
        <f t="shared" si="4"/>
        <v>175</v>
      </c>
      <c r="R57" s="45">
        <f t="shared" si="4"/>
        <v>102</v>
      </c>
      <c r="S57" s="45">
        <f t="shared" si="4"/>
        <v>100</v>
      </c>
      <c r="T57" s="45">
        <f t="shared" si="4"/>
        <v>99</v>
      </c>
      <c r="U57" s="45">
        <f t="shared" si="4"/>
        <v>102</v>
      </c>
      <c r="V57" s="45">
        <f t="shared" si="4"/>
        <v>91</v>
      </c>
      <c r="W57" s="45">
        <f t="shared" si="4"/>
        <v>87</v>
      </c>
      <c r="X57" s="45">
        <f t="shared" si="4"/>
        <v>38500</v>
      </c>
      <c r="Y57" s="45">
        <f t="shared" si="4"/>
        <v>35300</v>
      </c>
      <c r="Z57" s="45">
        <f t="shared" si="4"/>
        <v>32000</v>
      </c>
      <c r="AA57" s="45">
        <f t="shared" ref="AA57:AR57" si="5">AVERAGE(AA52:AA56)</f>
        <v>393.82</v>
      </c>
      <c r="AB57" s="45">
        <f t="shared" si="5"/>
        <v>363.63599999999997</v>
      </c>
      <c r="AC57" s="45">
        <f t="shared" si="5"/>
        <v>328.68</v>
      </c>
      <c r="AD57" s="45">
        <f t="shared" si="5"/>
        <v>350</v>
      </c>
      <c r="AE57" s="45">
        <f t="shared" si="5"/>
        <v>450</v>
      </c>
      <c r="AF57" s="45">
        <f t="shared" si="5"/>
        <v>350</v>
      </c>
      <c r="AG57" s="45">
        <f t="shared" si="5"/>
        <v>387</v>
      </c>
      <c r="AH57" s="45">
        <f t="shared" si="5"/>
        <v>371</v>
      </c>
      <c r="AI57" s="45">
        <f t="shared" si="5"/>
        <v>378</v>
      </c>
      <c r="AJ57" s="45">
        <f t="shared" si="5"/>
        <v>2709.0160000000001</v>
      </c>
      <c r="AK57" s="45">
        <f t="shared" si="5"/>
        <v>2854.7080000000001</v>
      </c>
      <c r="AL57" s="45">
        <f t="shared" si="5"/>
        <v>2571.576</v>
      </c>
      <c r="AM57" s="45">
        <f t="shared" si="5"/>
        <v>2440</v>
      </c>
      <c r="AN57" s="45">
        <f t="shared" si="5"/>
        <v>2620</v>
      </c>
      <c r="AO57" s="45">
        <f t="shared" si="5"/>
        <v>2298</v>
      </c>
      <c r="AP57" s="45">
        <f t="shared" si="5"/>
        <v>2200</v>
      </c>
      <c r="AQ57" s="45">
        <f t="shared" si="5"/>
        <v>2300</v>
      </c>
      <c r="AR57" s="45">
        <f t="shared" si="5"/>
        <v>2500</v>
      </c>
    </row>
    <row r="58" spans="1:44" ht="14.25" customHeight="1" x14ac:dyDescent="0.25">
      <c r="A58" s="1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</row>
    <row r="59" spans="1:44" ht="14.25" customHeight="1" x14ac:dyDescent="0.25">
      <c r="A59" s="37"/>
      <c r="B59" s="38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8"/>
    </row>
    <row r="60" spans="1:44" ht="14.25" customHeight="1" x14ac:dyDescent="0.25">
      <c r="A60" s="37"/>
      <c r="B60" s="38"/>
      <c r="C60" s="61" t="s">
        <v>47</v>
      </c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3"/>
    </row>
    <row r="61" spans="1:44" ht="14.25" customHeight="1" x14ac:dyDescent="0.25">
      <c r="A61" s="37"/>
      <c r="B61" s="38"/>
      <c r="C61" s="40" t="s">
        <v>7</v>
      </c>
      <c r="D61" s="40" t="s">
        <v>8</v>
      </c>
      <c r="E61" s="41" t="s">
        <v>9</v>
      </c>
      <c r="F61" s="40" t="s">
        <v>7</v>
      </c>
      <c r="G61" s="40" t="s">
        <v>8</v>
      </c>
      <c r="H61" s="41" t="s">
        <v>9</v>
      </c>
      <c r="I61" s="40" t="s">
        <v>7</v>
      </c>
      <c r="J61" s="40" t="s">
        <v>8</v>
      </c>
      <c r="K61" s="41" t="s">
        <v>9</v>
      </c>
      <c r="L61" s="40" t="s">
        <v>7</v>
      </c>
      <c r="M61" s="40" t="s">
        <v>8</v>
      </c>
      <c r="N61" s="41" t="s">
        <v>9</v>
      </c>
      <c r="O61" s="40" t="s">
        <v>7</v>
      </c>
      <c r="P61" s="40" t="s">
        <v>8</v>
      </c>
      <c r="Q61" s="41" t="s">
        <v>9</v>
      </c>
      <c r="R61" s="40" t="s">
        <v>7</v>
      </c>
      <c r="S61" s="40" t="s">
        <v>8</v>
      </c>
      <c r="T61" s="41" t="s">
        <v>9</v>
      </c>
      <c r="U61" s="40" t="s">
        <v>7</v>
      </c>
      <c r="V61" s="40" t="s">
        <v>8</v>
      </c>
      <c r="W61" s="41" t="s">
        <v>9</v>
      </c>
      <c r="X61" s="40" t="s">
        <v>7</v>
      </c>
      <c r="Y61" s="40" t="s">
        <v>8</v>
      </c>
      <c r="Z61" s="41" t="s">
        <v>9</v>
      </c>
      <c r="AA61" s="40" t="s">
        <v>7</v>
      </c>
      <c r="AB61" s="40" t="s">
        <v>8</v>
      </c>
      <c r="AC61" s="41" t="s">
        <v>9</v>
      </c>
      <c r="AD61" s="40" t="s">
        <v>7</v>
      </c>
      <c r="AE61" s="40" t="s">
        <v>8</v>
      </c>
      <c r="AF61" s="41" t="s">
        <v>9</v>
      </c>
      <c r="AG61" s="40" t="s">
        <v>7</v>
      </c>
      <c r="AH61" s="40" t="s">
        <v>8</v>
      </c>
      <c r="AI61" s="41" t="s">
        <v>9</v>
      </c>
      <c r="AJ61" s="40" t="s">
        <v>7</v>
      </c>
      <c r="AK61" s="40" t="s">
        <v>8</v>
      </c>
      <c r="AL61" s="41" t="s">
        <v>9</v>
      </c>
      <c r="AM61" s="40" t="s">
        <v>7</v>
      </c>
      <c r="AN61" s="40" t="s">
        <v>8</v>
      </c>
      <c r="AO61" s="41" t="s">
        <v>9</v>
      </c>
      <c r="AP61" s="40" t="s">
        <v>7</v>
      </c>
      <c r="AQ61" s="40" t="s">
        <v>8</v>
      </c>
      <c r="AR61" s="41" t="s">
        <v>9</v>
      </c>
    </row>
    <row r="62" spans="1:44" ht="14.25" customHeight="1" x14ac:dyDescent="0.25">
      <c r="A62" s="37"/>
      <c r="B62" s="38"/>
      <c r="C62" s="42" t="s">
        <v>11</v>
      </c>
      <c r="D62" s="42" t="s">
        <v>11</v>
      </c>
      <c r="E62" s="43" t="s">
        <v>11</v>
      </c>
      <c r="F62" s="42" t="s">
        <v>12</v>
      </c>
      <c r="G62" s="42" t="s">
        <v>12</v>
      </c>
      <c r="H62" s="43" t="s">
        <v>12</v>
      </c>
      <c r="I62" s="42" t="s">
        <v>13</v>
      </c>
      <c r="J62" s="42" t="s">
        <v>13</v>
      </c>
      <c r="K62" s="43" t="s">
        <v>13</v>
      </c>
      <c r="L62" s="42" t="s">
        <v>14</v>
      </c>
      <c r="M62" s="42" t="s">
        <v>14</v>
      </c>
      <c r="N62" s="43" t="s">
        <v>14</v>
      </c>
      <c r="O62" s="42" t="s">
        <v>15</v>
      </c>
      <c r="P62" s="42" t="s">
        <v>15</v>
      </c>
      <c r="Q62" s="43" t="s">
        <v>15</v>
      </c>
      <c r="R62" s="42" t="s">
        <v>16</v>
      </c>
      <c r="S62" s="42" t="s">
        <v>16</v>
      </c>
      <c r="T62" s="43" t="s">
        <v>16</v>
      </c>
      <c r="U62" s="42" t="s">
        <v>17</v>
      </c>
      <c r="V62" s="42" t="s">
        <v>17</v>
      </c>
      <c r="W62" s="43" t="s">
        <v>17</v>
      </c>
      <c r="X62" s="42" t="s">
        <v>18</v>
      </c>
      <c r="Y62" s="42" t="s">
        <v>18</v>
      </c>
      <c r="Z62" s="43" t="s">
        <v>18</v>
      </c>
      <c r="AA62" s="42" t="s">
        <v>19</v>
      </c>
      <c r="AB62" s="42" t="s">
        <v>19</v>
      </c>
      <c r="AC62" s="43" t="s">
        <v>19</v>
      </c>
      <c r="AD62" s="42" t="s">
        <v>20</v>
      </c>
      <c r="AE62" s="42" t="s">
        <v>20</v>
      </c>
      <c r="AF62" s="43" t="s">
        <v>20</v>
      </c>
      <c r="AG62" s="42" t="s">
        <v>21</v>
      </c>
      <c r="AH62" s="42" t="s">
        <v>21</v>
      </c>
      <c r="AI62" s="43" t="s">
        <v>21</v>
      </c>
      <c r="AJ62" s="42" t="s">
        <v>22</v>
      </c>
      <c r="AK62" s="42" t="s">
        <v>22</v>
      </c>
      <c r="AL62" s="43" t="s">
        <v>22</v>
      </c>
      <c r="AM62" s="42" t="s">
        <v>23</v>
      </c>
      <c r="AN62" s="42" t="s">
        <v>23</v>
      </c>
      <c r="AO62" s="43" t="s">
        <v>23</v>
      </c>
      <c r="AP62" s="42" t="s">
        <v>24</v>
      </c>
      <c r="AQ62" s="42" t="s">
        <v>24</v>
      </c>
      <c r="AR62" s="43" t="s">
        <v>24</v>
      </c>
    </row>
    <row r="63" spans="1:44" ht="14.25" customHeight="1" x14ac:dyDescent="0.25">
      <c r="A63" s="44"/>
      <c r="B63" s="44" t="s">
        <v>25</v>
      </c>
      <c r="C63" s="44">
        <v>145000</v>
      </c>
      <c r="D63" s="44">
        <v>150000</v>
      </c>
      <c r="E63" s="44">
        <v>150000</v>
      </c>
      <c r="F63" s="44">
        <v>165000</v>
      </c>
      <c r="G63" s="44">
        <v>155000</v>
      </c>
      <c r="H63" s="44">
        <v>145000</v>
      </c>
      <c r="I63" s="44">
        <v>155000</v>
      </c>
      <c r="J63" s="44">
        <v>125000</v>
      </c>
      <c r="K63" s="44">
        <v>145000</v>
      </c>
      <c r="L63" s="44">
        <v>75</v>
      </c>
      <c r="M63" s="44">
        <v>76</v>
      </c>
      <c r="N63" s="44">
        <v>80</v>
      </c>
      <c r="O63" s="44">
        <v>20</v>
      </c>
      <c r="P63" s="44">
        <v>20</v>
      </c>
      <c r="Q63" s="44">
        <v>20</v>
      </c>
      <c r="R63" s="44">
        <v>15</v>
      </c>
      <c r="S63" s="44">
        <v>22</v>
      </c>
      <c r="T63" s="44">
        <v>25</v>
      </c>
      <c r="U63" s="44">
        <v>21</v>
      </c>
      <c r="V63" s="44">
        <v>17</v>
      </c>
      <c r="W63" s="44">
        <v>16</v>
      </c>
      <c r="X63" s="44">
        <v>4700</v>
      </c>
      <c r="Y63" s="44">
        <v>7000</v>
      </c>
      <c r="Z63" s="44">
        <v>6000</v>
      </c>
      <c r="AA63" s="44">
        <v>313.33</v>
      </c>
      <c r="AB63" s="44">
        <v>318.18</v>
      </c>
      <c r="AC63" s="44">
        <v>240</v>
      </c>
      <c r="AD63" s="44">
        <v>350</v>
      </c>
      <c r="AE63" s="44">
        <v>350</v>
      </c>
      <c r="AF63" s="44">
        <v>300</v>
      </c>
      <c r="AG63" s="44">
        <v>410</v>
      </c>
      <c r="AH63" s="44">
        <v>385</v>
      </c>
      <c r="AI63" s="44">
        <v>390</v>
      </c>
      <c r="AJ63" s="44">
        <v>1866.67</v>
      </c>
      <c r="AK63" s="44">
        <v>1973.68</v>
      </c>
      <c r="AL63" s="44">
        <v>1875</v>
      </c>
      <c r="AM63" s="44">
        <v>2500</v>
      </c>
      <c r="AN63" s="44">
        <v>2700</v>
      </c>
      <c r="AO63" s="44">
        <v>2400</v>
      </c>
      <c r="AP63" s="44">
        <v>2450</v>
      </c>
      <c r="AQ63" s="44">
        <v>2700</v>
      </c>
      <c r="AR63" s="44">
        <v>2350</v>
      </c>
    </row>
    <row r="64" spans="1:44" ht="14.25" customHeight="1" x14ac:dyDescent="0.25">
      <c r="A64" s="44"/>
      <c r="B64" s="44" t="s">
        <v>26</v>
      </c>
      <c r="C64" s="44">
        <v>115000</v>
      </c>
      <c r="D64" s="44">
        <v>140000</v>
      </c>
      <c r="E64" s="44">
        <v>170000</v>
      </c>
      <c r="F64" s="44">
        <v>165000</v>
      </c>
      <c r="G64" s="44">
        <v>155000</v>
      </c>
      <c r="H64" s="44">
        <v>145000</v>
      </c>
      <c r="I64" s="44">
        <v>140000</v>
      </c>
      <c r="J64" s="44">
        <v>125000</v>
      </c>
      <c r="K64" s="44">
        <v>130000</v>
      </c>
      <c r="L64" s="44">
        <v>65</v>
      </c>
      <c r="M64" s="44">
        <v>85</v>
      </c>
      <c r="N64" s="44">
        <v>70</v>
      </c>
      <c r="O64" s="44">
        <v>20</v>
      </c>
      <c r="P64" s="44">
        <v>20</v>
      </c>
      <c r="Q64" s="44">
        <v>20</v>
      </c>
      <c r="R64" s="44">
        <v>25</v>
      </c>
      <c r="S64" s="44">
        <v>18</v>
      </c>
      <c r="T64" s="44">
        <v>24</v>
      </c>
      <c r="U64" s="44">
        <v>16</v>
      </c>
      <c r="V64" s="44">
        <v>14</v>
      </c>
      <c r="W64" s="44">
        <v>21</v>
      </c>
      <c r="X64" s="44">
        <v>6000</v>
      </c>
      <c r="Y64" s="44">
        <v>5000</v>
      </c>
      <c r="Z64" s="44">
        <v>8500</v>
      </c>
      <c r="AA64" s="44">
        <v>240</v>
      </c>
      <c r="AB64" s="44">
        <v>277.77999999999997</v>
      </c>
      <c r="AC64" s="44">
        <v>354.17</v>
      </c>
      <c r="AD64" s="44">
        <v>350</v>
      </c>
      <c r="AE64" s="44">
        <v>350</v>
      </c>
      <c r="AF64" s="44">
        <v>300</v>
      </c>
      <c r="AG64" s="44">
        <v>408</v>
      </c>
      <c r="AH64" s="44">
        <v>350</v>
      </c>
      <c r="AI64" s="44">
        <v>370</v>
      </c>
      <c r="AJ64" s="44">
        <v>1769.23</v>
      </c>
      <c r="AK64" s="44">
        <v>1647.06</v>
      </c>
      <c r="AL64" s="44">
        <v>2428.5700000000002</v>
      </c>
      <c r="AM64" s="44">
        <v>1800</v>
      </c>
      <c r="AN64" s="44">
        <v>2200</v>
      </c>
      <c r="AO64" s="44">
        <v>2300</v>
      </c>
      <c r="AP64" s="44">
        <v>2450</v>
      </c>
      <c r="AQ64" s="44">
        <v>2700</v>
      </c>
      <c r="AR64" s="44">
        <v>2350</v>
      </c>
    </row>
    <row r="65" spans="1:44" ht="14.25" customHeight="1" x14ac:dyDescent="0.25">
      <c r="A65" s="44"/>
      <c r="B65" s="44" t="s">
        <v>27</v>
      </c>
      <c r="C65" s="44">
        <v>165000</v>
      </c>
      <c r="D65" s="44">
        <v>140000</v>
      </c>
      <c r="E65" s="44">
        <v>145000</v>
      </c>
      <c r="F65" s="44">
        <v>165000</v>
      </c>
      <c r="G65" s="44">
        <v>155000</v>
      </c>
      <c r="H65" s="44">
        <v>145000</v>
      </c>
      <c r="I65" s="44">
        <v>165000</v>
      </c>
      <c r="J65" s="44">
        <v>150000</v>
      </c>
      <c r="K65" s="44">
        <v>155000</v>
      </c>
      <c r="L65" s="44">
        <v>65</v>
      </c>
      <c r="M65" s="44">
        <v>72</v>
      </c>
      <c r="N65" s="44">
        <v>78</v>
      </c>
      <c r="O65" s="44">
        <v>20</v>
      </c>
      <c r="P65" s="44">
        <v>20</v>
      </c>
      <c r="Q65" s="44">
        <v>20</v>
      </c>
      <c r="R65" s="44">
        <v>25</v>
      </c>
      <c r="S65" s="44">
        <v>17</v>
      </c>
      <c r="T65" s="44">
        <v>14</v>
      </c>
      <c r="U65" s="44">
        <v>15</v>
      </c>
      <c r="V65" s="44">
        <v>21</v>
      </c>
      <c r="W65" s="44">
        <v>20</v>
      </c>
      <c r="X65" s="44">
        <v>4000</v>
      </c>
      <c r="Y65" s="44">
        <v>8000</v>
      </c>
      <c r="Z65" s="44">
        <v>8000</v>
      </c>
      <c r="AA65" s="44">
        <v>160</v>
      </c>
      <c r="AB65" s="44">
        <v>470.59</v>
      </c>
      <c r="AC65" s="44">
        <v>571.42999999999995</v>
      </c>
      <c r="AD65" s="44">
        <v>350</v>
      </c>
      <c r="AE65" s="44">
        <v>350</v>
      </c>
      <c r="AF65" s="44">
        <v>300</v>
      </c>
      <c r="AG65" s="44">
        <v>345</v>
      </c>
      <c r="AH65" s="44">
        <v>405</v>
      </c>
      <c r="AI65" s="44">
        <v>352</v>
      </c>
      <c r="AJ65" s="44">
        <v>2538.46</v>
      </c>
      <c r="AK65" s="44">
        <v>1944.44</v>
      </c>
      <c r="AL65" s="44">
        <v>1858.97</v>
      </c>
      <c r="AM65" s="44">
        <v>2500</v>
      </c>
      <c r="AN65" s="44">
        <v>2500</v>
      </c>
      <c r="AO65" s="44">
        <v>2600</v>
      </c>
      <c r="AP65" s="44">
        <v>2450</v>
      </c>
      <c r="AQ65" s="44">
        <v>2700</v>
      </c>
      <c r="AR65" s="44">
        <v>2350</v>
      </c>
    </row>
    <row r="66" spans="1:44" ht="14.25" customHeight="1" x14ac:dyDescent="0.25">
      <c r="A66" s="44"/>
      <c r="B66" s="44" t="s">
        <v>28</v>
      </c>
      <c r="C66" s="44">
        <v>125000</v>
      </c>
      <c r="D66" s="44">
        <v>155000</v>
      </c>
      <c r="E66" s="44">
        <v>155000</v>
      </c>
      <c r="F66" s="44">
        <v>165000</v>
      </c>
      <c r="G66" s="44">
        <v>155000</v>
      </c>
      <c r="H66" s="44">
        <v>145000</v>
      </c>
      <c r="I66" s="44">
        <v>150000</v>
      </c>
      <c r="J66" s="44">
        <v>145000</v>
      </c>
      <c r="K66" s="44">
        <v>125000</v>
      </c>
      <c r="L66" s="44">
        <v>65</v>
      </c>
      <c r="M66" s="44">
        <v>70</v>
      </c>
      <c r="N66" s="44">
        <v>85</v>
      </c>
      <c r="O66" s="44">
        <v>20</v>
      </c>
      <c r="P66" s="44">
        <v>20</v>
      </c>
      <c r="Q66" s="44">
        <v>20</v>
      </c>
      <c r="R66" s="44">
        <v>19</v>
      </c>
      <c r="S66" s="44">
        <v>15</v>
      </c>
      <c r="T66" s="44">
        <v>21</v>
      </c>
      <c r="U66" s="44">
        <v>22</v>
      </c>
      <c r="V66" s="44">
        <v>20</v>
      </c>
      <c r="W66" s="44">
        <v>17</v>
      </c>
      <c r="X66" s="44">
        <v>9000</v>
      </c>
      <c r="Y66" s="44">
        <v>8500</v>
      </c>
      <c r="Z66" s="44">
        <v>7000</v>
      </c>
      <c r="AA66" s="44">
        <v>473.68</v>
      </c>
      <c r="AB66" s="44">
        <v>566.66999999999996</v>
      </c>
      <c r="AC66" s="44">
        <v>333.33</v>
      </c>
      <c r="AD66" s="44">
        <v>350</v>
      </c>
      <c r="AE66" s="44">
        <v>350</v>
      </c>
      <c r="AF66" s="44">
        <v>300</v>
      </c>
      <c r="AG66" s="44">
        <v>350</v>
      </c>
      <c r="AH66" s="44">
        <v>400</v>
      </c>
      <c r="AI66" s="44">
        <v>388</v>
      </c>
      <c r="AJ66" s="44">
        <v>1923.08</v>
      </c>
      <c r="AK66" s="44">
        <v>2214.29</v>
      </c>
      <c r="AL66" s="44">
        <v>1823.53</v>
      </c>
      <c r="AM66" s="44">
        <v>2100</v>
      </c>
      <c r="AN66" s="44">
        <v>2400</v>
      </c>
      <c r="AO66" s="44">
        <v>2400</v>
      </c>
      <c r="AP66" s="44">
        <v>2450</v>
      </c>
      <c r="AQ66" s="44">
        <v>2700</v>
      </c>
      <c r="AR66" s="44">
        <v>2350</v>
      </c>
    </row>
    <row r="67" spans="1:44" ht="14.25" customHeight="1" x14ac:dyDescent="0.25">
      <c r="A67" s="44"/>
      <c r="B67" s="44" t="s">
        <v>29</v>
      </c>
      <c r="C67" s="44">
        <v>150000</v>
      </c>
      <c r="D67" s="44">
        <v>130000</v>
      </c>
      <c r="E67" s="44">
        <v>150000</v>
      </c>
      <c r="F67" s="44">
        <v>165000</v>
      </c>
      <c r="G67" s="44">
        <v>155000</v>
      </c>
      <c r="H67" s="44">
        <v>145000</v>
      </c>
      <c r="I67" s="44">
        <v>170000</v>
      </c>
      <c r="J67" s="44">
        <v>155000</v>
      </c>
      <c r="K67" s="44">
        <v>130000</v>
      </c>
      <c r="L67" s="44">
        <v>75</v>
      </c>
      <c r="M67" s="44">
        <v>63</v>
      </c>
      <c r="N67" s="44">
        <v>80</v>
      </c>
      <c r="O67" s="44">
        <v>20</v>
      </c>
      <c r="P67" s="44">
        <v>20</v>
      </c>
      <c r="Q67" s="44">
        <v>20</v>
      </c>
      <c r="R67" s="44">
        <v>24</v>
      </c>
      <c r="S67" s="44">
        <v>15</v>
      </c>
      <c r="T67" s="44">
        <v>30</v>
      </c>
      <c r="U67" s="44">
        <v>23</v>
      </c>
      <c r="V67" s="44">
        <v>24</v>
      </c>
      <c r="W67" s="44">
        <v>20</v>
      </c>
      <c r="X67" s="44">
        <v>9500</v>
      </c>
      <c r="Y67" s="44">
        <v>9000</v>
      </c>
      <c r="Z67" s="44">
        <v>8000</v>
      </c>
      <c r="AA67" s="44">
        <v>395.83</v>
      </c>
      <c r="AB67" s="44">
        <v>600</v>
      </c>
      <c r="AC67" s="44">
        <v>266.67</v>
      </c>
      <c r="AD67" s="44">
        <v>350</v>
      </c>
      <c r="AE67" s="44">
        <v>350</v>
      </c>
      <c r="AF67" s="44">
        <v>300</v>
      </c>
      <c r="AG67" s="44">
        <v>360</v>
      </c>
      <c r="AH67" s="44">
        <v>350</v>
      </c>
      <c r="AI67" s="44">
        <v>425</v>
      </c>
      <c r="AJ67" s="44">
        <v>2000</v>
      </c>
      <c r="AK67" s="44">
        <v>2063.4899999999998</v>
      </c>
      <c r="AL67" s="44">
        <v>1875</v>
      </c>
      <c r="AM67" s="44">
        <v>2100</v>
      </c>
      <c r="AN67" s="44">
        <v>2800</v>
      </c>
      <c r="AO67" s="44">
        <v>3000</v>
      </c>
      <c r="AP67" s="44">
        <v>2450</v>
      </c>
      <c r="AQ67" s="44">
        <v>2700</v>
      </c>
      <c r="AR67" s="44">
        <v>2350</v>
      </c>
    </row>
    <row r="68" spans="1:44" ht="14.25" customHeight="1" x14ac:dyDescent="0.25">
      <c r="A68" s="45"/>
      <c r="B68" s="45" t="s">
        <v>30</v>
      </c>
      <c r="C68" s="45">
        <f t="shared" ref="C68:Z68" si="6">SUM(C63:C67)</f>
        <v>700000</v>
      </c>
      <c r="D68" s="45">
        <f t="shared" si="6"/>
        <v>715000</v>
      </c>
      <c r="E68" s="45">
        <f t="shared" si="6"/>
        <v>770000</v>
      </c>
      <c r="F68" s="45">
        <f t="shared" si="6"/>
        <v>825000</v>
      </c>
      <c r="G68" s="45">
        <f t="shared" si="6"/>
        <v>775000</v>
      </c>
      <c r="H68" s="45">
        <f t="shared" si="6"/>
        <v>725000</v>
      </c>
      <c r="I68" s="45">
        <f t="shared" si="6"/>
        <v>780000</v>
      </c>
      <c r="J68" s="45">
        <f t="shared" si="6"/>
        <v>700000</v>
      </c>
      <c r="K68" s="45">
        <f t="shared" si="6"/>
        <v>685000</v>
      </c>
      <c r="L68" s="45">
        <f t="shared" si="6"/>
        <v>345</v>
      </c>
      <c r="M68" s="45">
        <f t="shared" si="6"/>
        <v>366</v>
      </c>
      <c r="N68" s="45">
        <f t="shared" si="6"/>
        <v>393</v>
      </c>
      <c r="O68" s="45">
        <f t="shared" si="6"/>
        <v>100</v>
      </c>
      <c r="P68" s="45">
        <f t="shared" si="6"/>
        <v>100</v>
      </c>
      <c r="Q68" s="45">
        <f t="shared" si="6"/>
        <v>100</v>
      </c>
      <c r="R68" s="45">
        <f t="shared" si="6"/>
        <v>108</v>
      </c>
      <c r="S68" s="45">
        <f t="shared" si="6"/>
        <v>87</v>
      </c>
      <c r="T68" s="45">
        <f t="shared" si="6"/>
        <v>114</v>
      </c>
      <c r="U68" s="45">
        <f t="shared" si="6"/>
        <v>97</v>
      </c>
      <c r="V68" s="45">
        <f t="shared" si="6"/>
        <v>96</v>
      </c>
      <c r="W68" s="45">
        <f t="shared" si="6"/>
        <v>94</v>
      </c>
      <c r="X68" s="45">
        <f t="shared" si="6"/>
        <v>33200</v>
      </c>
      <c r="Y68" s="45">
        <f t="shared" si="6"/>
        <v>37500</v>
      </c>
      <c r="Z68" s="45">
        <f t="shared" si="6"/>
        <v>37500</v>
      </c>
      <c r="AA68" s="45">
        <f t="shared" ref="AA68:AR68" si="7">AVERAGE(AA63:AA67)</f>
        <v>316.56799999999998</v>
      </c>
      <c r="AB68" s="45">
        <f t="shared" si="7"/>
        <v>446.64399999999995</v>
      </c>
      <c r="AC68" s="45">
        <f t="shared" si="7"/>
        <v>353.12</v>
      </c>
      <c r="AD68" s="45">
        <f t="shared" si="7"/>
        <v>350</v>
      </c>
      <c r="AE68" s="45">
        <f t="shared" si="7"/>
        <v>350</v>
      </c>
      <c r="AF68" s="45">
        <f t="shared" si="7"/>
        <v>300</v>
      </c>
      <c r="AG68" s="45">
        <f t="shared" si="7"/>
        <v>374.6</v>
      </c>
      <c r="AH68" s="45">
        <f t="shared" si="7"/>
        <v>378</v>
      </c>
      <c r="AI68" s="45">
        <f t="shared" si="7"/>
        <v>385</v>
      </c>
      <c r="AJ68" s="45">
        <f t="shared" si="7"/>
        <v>2019.4880000000001</v>
      </c>
      <c r="AK68" s="45">
        <f t="shared" si="7"/>
        <v>1968.5919999999999</v>
      </c>
      <c r="AL68" s="45">
        <f t="shared" si="7"/>
        <v>1972.2139999999999</v>
      </c>
      <c r="AM68" s="45">
        <f t="shared" si="7"/>
        <v>2200</v>
      </c>
      <c r="AN68" s="45">
        <f t="shared" si="7"/>
        <v>2520</v>
      </c>
      <c r="AO68" s="45">
        <f t="shared" si="7"/>
        <v>2540</v>
      </c>
      <c r="AP68" s="45">
        <f t="shared" si="7"/>
        <v>2450</v>
      </c>
      <c r="AQ68" s="45">
        <f t="shared" si="7"/>
        <v>2700</v>
      </c>
      <c r="AR68" s="45">
        <f t="shared" si="7"/>
        <v>2350</v>
      </c>
    </row>
    <row r="69" spans="1:44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spans="1:44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4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4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4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spans="1:44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spans="1:44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spans="1:44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spans="1:44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spans="1:44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spans="1:44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spans="1:44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spans="1:44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spans="1:44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spans="1:44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spans="1:44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spans="1:44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spans="1:44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spans="1:44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spans="1:44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ht="14.25" customHeight="1" x14ac:dyDescent="0.25"/>
    <row r="270" spans="1:44" ht="14.25" customHeight="1" x14ac:dyDescent="0.25"/>
    <row r="271" spans="1:44" ht="14.25" customHeight="1" x14ac:dyDescent="0.25"/>
    <row r="272" spans="1:44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5">
    <mergeCell ref="C8:AR8"/>
    <mergeCell ref="C27:AR27"/>
    <mergeCell ref="C38:AR38"/>
    <mergeCell ref="C49:AR49"/>
    <mergeCell ref="C60:AR60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D2" sqref="D2"/>
    </sheetView>
  </sheetViews>
  <sheetFormatPr defaultColWidth="14.42578125" defaultRowHeight="15" customHeight="1" x14ac:dyDescent="0.25"/>
  <cols>
    <col min="1" max="1" width="26.42578125" bestFit="1" customWidth="1"/>
    <col min="2" max="2" width="6.7109375" customWidth="1"/>
    <col min="3" max="3" width="23.28515625" customWidth="1"/>
    <col min="4" max="4" width="18.5703125" customWidth="1"/>
    <col min="5" max="6" width="8.7109375" customWidth="1"/>
    <col min="7" max="7" width="18.28515625" customWidth="1"/>
    <col min="8" max="8" width="8.7109375" customWidth="1"/>
    <col min="9" max="9" width="22.85546875" customWidth="1"/>
    <col min="10" max="10" width="2.28515625" customWidth="1"/>
    <col min="11" max="11" width="18" customWidth="1"/>
    <col min="12" max="12" width="13" customWidth="1"/>
    <col min="13" max="14" width="12.140625" customWidth="1"/>
    <col min="15" max="15" width="19.5703125" customWidth="1"/>
    <col min="16" max="26" width="8.7109375" customWidth="1"/>
  </cols>
  <sheetData>
    <row r="1" spans="1:26" ht="14.25" customHeight="1" x14ac:dyDescent="0.25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27" x14ac:dyDescent="0.35">
      <c r="A2" s="64" t="s">
        <v>48</v>
      </c>
      <c r="B2" s="65"/>
      <c r="C2" s="66"/>
      <c r="D2" s="47" t="s">
        <v>4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 ht="27" customHeight="1" x14ac:dyDescent="0.25">
      <c r="A3" s="67" t="s">
        <v>49</v>
      </c>
      <c r="B3" s="68"/>
      <c r="C3" s="68"/>
      <c r="D3" s="68"/>
      <c r="E3" s="68"/>
      <c r="F3" s="68"/>
      <c r="G3" s="69"/>
      <c r="H3" s="46"/>
      <c r="I3" s="70" t="s">
        <v>50</v>
      </c>
      <c r="J3" s="68"/>
      <c r="K3" s="68"/>
      <c r="L3" s="68"/>
      <c r="M3" s="68"/>
      <c r="N3" s="68"/>
      <c r="O3" s="69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 ht="15" customHeight="1" x14ac:dyDescent="0.25">
      <c r="A4" s="48"/>
      <c r="B4" s="48"/>
      <c r="C4" s="48"/>
      <c r="D4" s="49"/>
      <c r="E4" s="49"/>
      <c r="F4" s="49"/>
      <c r="G4" s="49"/>
      <c r="H4" s="46"/>
      <c r="I4" s="48"/>
      <c r="J4" s="48"/>
      <c r="K4" s="48"/>
      <c r="L4" s="49"/>
      <c r="M4" s="49"/>
      <c r="N4" s="49"/>
      <c r="O4" s="49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25.5" customHeight="1" x14ac:dyDescent="0.25">
      <c r="A5" s="50" t="s">
        <v>51</v>
      </c>
      <c r="B5" s="48"/>
      <c r="C5" s="48"/>
      <c r="D5" s="49"/>
      <c r="E5" s="49"/>
      <c r="F5" s="49"/>
      <c r="G5" s="49"/>
      <c r="H5" s="46"/>
      <c r="I5" s="50" t="s">
        <v>52</v>
      </c>
      <c r="J5" s="48"/>
      <c r="K5" s="48"/>
      <c r="L5" s="49"/>
      <c r="M5" s="49"/>
      <c r="N5" s="49"/>
      <c r="O5" s="49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4.25" customHeight="1" x14ac:dyDescent="0.25">
      <c r="A6" s="48"/>
      <c r="B6" s="48"/>
      <c r="C6" s="48"/>
      <c r="D6" s="49"/>
      <c r="E6" s="49"/>
      <c r="F6" s="49"/>
      <c r="G6" s="49"/>
      <c r="H6" s="46"/>
      <c r="I6" s="48"/>
      <c r="J6" s="48"/>
      <c r="K6" s="48"/>
      <c r="L6" s="49"/>
      <c r="M6" s="49"/>
      <c r="N6" s="49"/>
      <c r="O6" s="49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25.5" customHeight="1" x14ac:dyDescent="0.25">
      <c r="A7" s="51">
        <f>SUM(DATA!C16:E16)</f>
        <v>2185000</v>
      </c>
      <c r="B7" s="48"/>
      <c r="C7" s="52" t="s">
        <v>53</v>
      </c>
      <c r="D7" s="49"/>
      <c r="E7" s="49"/>
      <c r="F7" s="49"/>
      <c r="G7" s="49"/>
      <c r="H7" s="46"/>
      <c r="I7" s="53">
        <f>SUM(DATA!R16:T16)</f>
        <v>309</v>
      </c>
      <c r="J7" s="48"/>
      <c r="K7" s="52" t="s">
        <v>54</v>
      </c>
      <c r="L7" s="49"/>
      <c r="M7" s="49"/>
      <c r="N7" s="49"/>
      <c r="O7" s="49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14.25" customHeight="1" x14ac:dyDescent="0.25">
      <c r="A8" s="48"/>
      <c r="B8" s="48"/>
      <c r="C8" s="52"/>
      <c r="D8" s="49"/>
      <c r="E8" s="49"/>
      <c r="F8" s="49"/>
      <c r="G8" s="49"/>
      <c r="H8" s="46"/>
      <c r="I8" s="48"/>
      <c r="J8" s="48"/>
      <c r="K8" s="48"/>
      <c r="L8" s="49"/>
      <c r="M8" s="49"/>
      <c r="N8" s="49"/>
      <c r="O8" s="49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25.5" x14ac:dyDescent="0.25">
      <c r="A9" s="51">
        <f>SUM(DATA!F16:H16)</f>
        <v>2325000</v>
      </c>
      <c r="B9" s="48"/>
      <c r="C9" s="52" t="s">
        <v>55</v>
      </c>
      <c r="D9" s="49"/>
      <c r="E9" s="49"/>
      <c r="F9" s="49"/>
      <c r="G9" s="49"/>
      <c r="H9" s="46"/>
      <c r="I9" s="51">
        <f>SUM(DATA!O16:Q16)</f>
        <v>300</v>
      </c>
      <c r="J9" s="48"/>
      <c r="K9" s="52" t="s">
        <v>56</v>
      </c>
      <c r="L9" s="49"/>
      <c r="M9" s="49"/>
      <c r="N9" s="49"/>
      <c r="O9" s="49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14.25" customHeight="1" x14ac:dyDescent="0.25">
      <c r="A10" s="48"/>
      <c r="B10" s="48"/>
      <c r="C10" s="52"/>
      <c r="D10" s="49"/>
      <c r="E10" s="49"/>
      <c r="F10" s="49"/>
      <c r="G10" s="49"/>
      <c r="H10" s="46"/>
      <c r="I10" s="48"/>
      <c r="J10" s="48"/>
      <c r="K10" s="52"/>
      <c r="L10" s="49"/>
      <c r="M10" s="49"/>
      <c r="N10" s="49"/>
      <c r="O10" s="49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25.5" x14ac:dyDescent="0.25">
      <c r="A11" s="54">
        <f>A7/A9</f>
        <v>0.93978494623655917</v>
      </c>
      <c r="B11" s="48"/>
      <c r="C11" s="52" t="s">
        <v>57</v>
      </c>
      <c r="D11" s="49"/>
      <c r="E11" s="49"/>
      <c r="F11" s="49"/>
      <c r="G11" s="49"/>
      <c r="H11" s="46"/>
      <c r="I11" s="54">
        <f>I7/I9</f>
        <v>1.03</v>
      </c>
      <c r="J11" s="48"/>
      <c r="K11" s="52" t="s">
        <v>57</v>
      </c>
      <c r="L11" s="49"/>
      <c r="M11" s="49"/>
      <c r="N11" s="49"/>
      <c r="O11" s="49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14.25" customHeight="1" x14ac:dyDescent="0.25">
      <c r="A12" s="49"/>
      <c r="B12" s="49"/>
      <c r="C12" s="55"/>
      <c r="D12" s="49"/>
      <c r="E12" s="49"/>
      <c r="F12" s="49"/>
      <c r="G12" s="49"/>
      <c r="H12" s="46"/>
      <c r="I12" s="49"/>
      <c r="J12" s="49"/>
      <c r="K12" s="49"/>
      <c r="L12" s="49"/>
      <c r="M12" s="49"/>
      <c r="N12" s="49"/>
      <c r="O12" s="49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4.25" customHeight="1" x14ac:dyDescent="0.25">
      <c r="A13" s="49"/>
      <c r="B13" s="49"/>
      <c r="C13" s="49"/>
      <c r="D13" s="49"/>
      <c r="E13" s="49"/>
      <c r="F13" s="49"/>
      <c r="G13" s="49"/>
      <c r="H13" s="46"/>
      <c r="I13" s="49"/>
      <c r="J13" s="49"/>
      <c r="K13" s="49"/>
      <c r="L13" s="49"/>
      <c r="M13" s="49"/>
      <c r="N13" s="49"/>
      <c r="O13" s="49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14.25" customHeight="1" x14ac:dyDescent="0.25">
      <c r="A14" s="49"/>
      <c r="B14" s="49"/>
      <c r="C14" s="49"/>
      <c r="D14" s="49"/>
      <c r="E14" s="49"/>
      <c r="F14" s="49"/>
      <c r="G14" s="49"/>
      <c r="H14" s="46"/>
      <c r="I14" s="49"/>
      <c r="J14" s="49"/>
      <c r="K14" s="49"/>
      <c r="L14" s="49"/>
      <c r="M14" s="49"/>
      <c r="N14" s="49"/>
      <c r="O14" s="49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4.25" customHeight="1" x14ac:dyDescent="0.25">
      <c r="A15" s="49"/>
      <c r="B15" s="49"/>
      <c r="C15" s="49"/>
      <c r="D15" s="49"/>
      <c r="E15" s="49"/>
      <c r="F15" s="49"/>
      <c r="G15" s="49"/>
      <c r="H15" s="46"/>
      <c r="I15" s="49"/>
      <c r="J15" s="49"/>
      <c r="K15" s="49"/>
      <c r="L15" s="49"/>
      <c r="M15" s="49"/>
      <c r="N15" s="49"/>
      <c r="O15" s="49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35.25" customHeight="1" x14ac:dyDescent="0.25">
      <c r="A16" s="49"/>
      <c r="B16" s="49"/>
      <c r="C16" s="49"/>
      <c r="D16" s="49"/>
      <c r="E16" s="49"/>
      <c r="F16" s="49"/>
      <c r="G16" s="49"/>
      <c r="H16" s="46"/>
      <c r="I16" s="49"/>
      <c r="J16" s="49"/>
      <c r="K16" s="49"/>
      <c r="L16" s="49"/>
      <c r="M16" s="49"/>
      <c r="N16" s="49"/>
      <c r="O16" s="49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14.25" customHeight="1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14.25" customHeight="1" x14ac:dyDescent="0.25">
      <c r="A18" s="71" t="s">
        <v>58</v>
      </c>
      <c r="B18" s="72"/>
      <c r="C18" s="72"/>
      <c r="D18" s="72"/>
      <c r="E18" s="72"/>
      <c r="F18" s="72"/>
      <c r="G18" s="73"/>
      <c r="H18" s="46"/>
      <c r="I18" s="77" t="s">
        <v>59</v>
      </c>
      <c r="J18" s="72"/>
      <c r="K18" s="72"/>
      <c r="L18" s="72"/>
      <c r="M18" s="72"/>
      <c r="N18" s="72"/>
      <c r="O18" s="73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4.25" customHeight="1" x14ac:dyDescent="0.25">
      <c r="A19" s="74"/>
      <c r="B19" s="75"/>
      <c r="C19" s="75"/>
      <c r="D19" s="75"/>
      <c r="E19" s="75"/>
      <c r="F19" s="75"/>
      <c r="G19" s="76"/>
      <c r="H19" s="46"/>
      <c r="I19" s="74"/>
      <c r="J19" s="75"/>
      <c r="K19" s="75"/>
      <c r="L19" s="75"/>
      <c r="M19" s="75"/>
      <c r="N19" s="75"/>
      <c r="O19" s="7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4.25" customHeight="1" x14ac:dyDescent="0.25">
      <c r="A20" s="48"/>
      <c r="B20" s="48"/>
      <c r="C20" s="48"/>
      <c r="D20" s="49"/>
      <c r="E20" s="49"/>
      <c r="F20" s="49"/>
      <c r="G20" s="49"/>
      <c r="H20" s="46"/>
      <c r="I20" s="48"/>
      <c r="J20" s="48"/>
      <c r="K20" s="48"/>
      <c r="L20" s="49"/>
      <c r="M20" s="49"/>
      <c r="N20" s="49"/>
      <c r="O20" s="49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36" customHeight="1" x14ac:dyDescent="0.25">
      <c r="A21" s="56" t="s">
        <v>60</v>
      </c>
      <c r="B21" s="48"/>
      <c r="C21" s="48"/>
      <c r="D21" s="49"/>
      <c r="E21" s="49"/>
      <c r="F21" s="49"/>
      <c r="G21" s="49"/>
      <c r="H21" s="46"/>
      <c r="I21" s="57" t="s">
        <v>61</v>
      </c>
      <c r="J21" s="48"/>
      <c r="K21" s="48"/>
      <c r="L21" s="49"/>
      <c r="M21" s="49"/>
      <c r="N21" s="49"/>
      <c r="O21" s="49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x14ac:dyDescent="0.25">
      <c r="A22" s="48"/>
      <c r="B22" s="48"/>
      <c r="C22" s="48"/>
      <c r="D22" s="49"/>
      <c r="E22" s="49"/>
      <c r="F22" s="49"/>
      <c r="G22" s="49"/>
      <c r="H22" s="46"/>
      <c r="I22" s="48"/>
      <c r="J22" s="48"/>
      <c r="K22" s="48"/>
      <c r="L22" s="49"/>
      <c r="M22" s="49"/>
      <c r="N22" s="49"/>
      <c r="O22" s="49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25.5" x14ac:dyDescent="0.25">
      <c r="A23" s="51">
        <f>SUM(DATA!AJ16:AL16)/3</f>
        <v>1986.7646666666667</v>
      </c>
      <c r="B23" s="48"/>
      <c r="C23" s="52" t="s">
        <v>62</v>
      </c>
      <c r="D23" s="49"/>
      <c r="E23" s="49"/>
      <c r="F23" s="49"/>
      <c r="G23" s="49"/>
      <c r="H23" s="46"/>
      <c r="I23" s="51">
        <f>SUM(DATA!AA16:AC16)/3</f>
        <v>372.11066666666665</v>
      </c>
      <c r="J23" s="51"/>
      <c r="K23" s="52" t="s">
        <v>63</v>
      </c>
      <c r="L23" s="49"/>
      <c r="M23" s="49"/>
      <c r="N23" s="49"/>
      <c r="O23" s="49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9.5" x14ac:dyDescent="0.25">
      <c r="A24" s="48"/>
      <c r="B24" s="48"/>
      <c r="C24" s="52"/>
      <c r="D24" s="49"/>
      <c r="E24" s="49"/>
      <c r="F24" s="49"/>
      <c r="G24" s="49"/>
      <c r="H24" s="46"/>
      <c r="I24" s="51"/>
      <c r="J24" s="51"/>
      <c r="K24" s="52"/>
      <c r="L24" s="49"/>
      <c r="M24" s="49"/>
      <c r="N24" s="49"/>
      <c r="O24" s="49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25.5" x14ac:dyDescent="0.25">
      <c r="A25" s="51">
        <f>SUM(DATA!AP16:AR16)/3</f>
        <v>2500</v>
      </c>
      <c r="B25" s="48"/>
      <c r="C25" s="52" t="s">
        <v>64</v>
      </c>
      <c r="D25" s="49"/>
      <c r="E25" s="49"/>
      <c r="F25" s="49"/>
      <c r="G25" s="49"/>
      <c r="H25" s="46"/>
      <c r="I25" s="51">
        <f>SUM(DATA!AD16:AF16)/3</f>
        <v>333.33333333333331</v>
      </c>
      <c r="J25" s="51"/>
      <c r="K25" s="52" t="s">
        <v>65</v>
      </c>
      <c r="L25" s="49"/>
      <c r="M25" s="49"/>
      <c r="N25" s="49"/>
      <c r="O25" s="49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9.5" x14ac:dyDescent="0.25">
      <c r="A26" s="48"/>
      <c r="B26" s="48"/>
      <c r="C26" s="52"/>
      <c r="D26" s="49"/>
      <c r="E26" s="49"/>
      <c r="F26" s="49"/>
      <c r="G26" s="49"/>
      <c r="H26" s="46"/>
      <c r="I26" s="51"/>
      <c r="J26" s="51"/>
      <c r="K26" s="52"/>
      <c r="L26" s="49"/>
      <c r="M26" s="49"/>
      <c r="N26" s="49"/>
      <c r="O26" s="49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25.5" x14ac:dyDescent="0.25">
      <c r="A27" s="54">
        <f>A23/A25</f>
        <v>0.79470586666666665</v>
      </c>
      <c r="B27" s="48"/>
      <c r="C27" s="52" t="s">
        <v>57</v>
      </c>
      <c r="D27" s="49"/>
      <c r="E27" s="49"/>
      <c r="F27" s="49"/>
      <c r="G27" s="49"/>
      <c r="H27" s="46"/>
      <c r="I27" s="54">
        <f>I23/I25</f>
        <v>1.1163320000000001</v>
      </c>
      <c r="J27" s="51"/>
      <c r="K27" s="52" t="s">
        <v>57</v>
      </c>
      <c r="L27" s="49"/>
      <c r="M27" s="49"/>
      <c r="N27" s="49"/>
      <c r="O27" s="49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x14ac:dyDescent="0.25">
      <c r="A28" s="49"/>
      <c r="B28" s="49"/>
      <c r="C28" s="49"/>
      <c r="D28" s="49"/>
      <c r="E28" s="49"/>
      <c r="F28" s="49"/>
      <c r="G28" s="49"/>
      <c r="H28" s="46"/>
      <c r="I28" s="49"/>
      <c r="J28" s="49"/>
      <c r="K28" s="49"/>
      <c r="L28" s="49"/>
      <c r="M28" s="49"/>
      <c r="N28" s="49"/>
      <c r="O28" s="49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4.25" customHeight="1" x14ac:dyDescent="0.25">
      <c r="A29" s="49"/>
      <c r="B29" s="49"/>
      <c r="C29" s="49"/>
      <c r="D29" s="49"/>
      <c r="E29" s="49"/>
      <c r="F29" s="49"/>
      <c r="G29" s="49"/>
      <c r="H29" s="46"/>
      <c r="I29" s="49"/>
      <c r="J29" s="49"/>
      <c r="K29" s="49"/>
      <c r="L29" s="49"/>
      <c r="M29" s="49"/>
      <c r="N29" s="49"/>
      <c r="O29" s="49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4.25" customHeight="1" x14ac:dyDescent="0.25">
      <c r="A30" s="49"/>
      <c r="B30" s="49"/>
      <c r="C30" s="49"/>
      <c r="D30" s="49"/>
      <c r="E30" s="49"/>
      <c r="F30" s="49"/>
      <c r="G30" s="49"/>
      <c r="H30" s="46"/>
      <c r="I30" s="49"/>
      <c r="J30" s="49"/>
      <c r="K30" s="49"/>
      <c r="L30" s="49"/>
      <c r="M30" s="49"/>
      <c r="N30" s="49"/>
      <c r="O30" s="49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4.25" customHeight="1" x14ac:dyDescent="0.25">
      <c r="A31" s="49"/>
      <c r="B31" s="49"/>
      <c r="C31" s="49"/>
      <c r="D31" s="49"/>
      <c r="E31" s="49"/>
      <c r="F31" s="49"/>
      <c r="G31" s="49"/>
      <c r="H31" s="46"/>
      <c r="I31" s="49"/>
      <c r="J31" s="49"/>
      <c r="K31" s="49"/>
      <c r="L31" s="49"/>
      <c r="M31" s="49"/>
      <c r="N31" s="49"/>
      <c r="O31" s="49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53.25" customHeight="1" x14ac:dyDescent="0.25">
      <c r="A32" s="49"/>
      <c r="B32" s="49"/>
      <c r="C32" s="49"/>
      <c r="D32" s="49"/>
      <c r="E32" s="49"/>
      <c r="F32" s="49"/>
      <c r="G32" s="49"/>
      <c r="H32" s="46"/>
      <c r="I32" s="49"/>
      <c r="J32" s="49"/>
      <c r="K32" s="49"/>
      <c r="L32" s="49"/>
      <c r="M32" s="49"/>
      <c r="N32" s="49"/>
      <c r="O32" s="49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4.25" customHeight="1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14.25" customHeight="1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4.25" customHeight="1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14.25" customHeight="1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4.25" customHeight="1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4.25" customHeight="1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4.25" customHeight="1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ht="14.25" customHeight="1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14.25" customHeight="1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14.25" customHeight="1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14.25" customHeight="1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14.25" customHeight="1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14.25" customHeight="1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4.25" customHeight="1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4.25" customHeight="1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4.25" customHeight="1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4.25" customHeight="1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4.25" customHeight="1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4.25" customHeight="1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4.25" customHeight="1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4.25" customHeight="1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4.25" customHeight="1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4.25" customHeight="1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4.25" customHeight="1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4.25" customHeight="1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4.25" customHeight="1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4.25" customHeight="1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4.25" customHeight="1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4.25" customHeight="1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4.25" customHeight="1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4.25" customHeight="1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4.25" customHeight="1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4.25" customHeight="1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4.25" customHeight="1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4.25" customHeight="1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4.25" customHeight="1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4.25" customHeight="1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4.25" customHeight="1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4.25" customHeight="1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4.25" customHeight="1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4.25" customHeight="1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4.25" customHeight="1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4.25" customHeight="1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4.25" customHeight="1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4.25" customHeight="1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4.25" customHeight="1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4.25" customHeight="1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4.25" customHeight="1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4.25" customHeight="1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4.25" customHeight="1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4.25" customHeight="1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4.25" customHeight="1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4.25" customHeight="1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4.25" customHeight="1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4.25" customHeight="1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4.25" customHeight="1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4.25" customHeight="1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4.25" customHeight="1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4.25" customHeight="1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4.25" customHeight="1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4.25" customHeight="1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4.25" customHeight="1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4.25" customHeight="1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4.25" customHeight="1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4.25" customHeight="1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4.25" customHeight="1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4.25" customHeight="1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4.25" customHeight="1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4.25" customHeight="1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4.25" customHeight="1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4.25" customHeight="1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4.25" customHeight="1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4.25" customHeight="1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4.25" customHeight="1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4.25" customHeight="1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4.25" customHeight="1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4.25" customHeight="1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4.25" customHeight="1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4.25" customHeight="1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4.25" customHeight="1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4.25" customHeight="1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4.25" customHeight="1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4.25" customHeight="1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4.25" customHeight="1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4.25" customHeight="1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4.25" customHeight="1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4.25" customHeight="1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4.25" customHeight="1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4.25" customHeight="1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4.25" customHeight="1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4.25" customHeight="1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4.25" customHeight="1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4.25" customHeight="1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4.25" customHeight="1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4.25" customHeight="1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4.25" customHeight="1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4.25" customHeight="1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4.25" customHeight="1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4.25" customHeight="1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4.25" customHeight="1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4.25" customHeight="1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4.25" customHeight="1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4.25" customHeight="1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4.25" customHeight="1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4.25" customHeight="1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4.25" customHeight="1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4.25" customHeight="1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4.25" customHeight="1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4.25" customHeight="1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4.25" customHeight="1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4.25" customHeight="1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4.25" customHeight="1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4.25" customHeight="1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4.25" customHeight="1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4.25" customHeight="1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4.25" customHeight="1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4.25" customHeight="1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4.25" customHeight="1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4.25" customHeight="1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4.25" customHeight="1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4.25" customHeight="1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4.25" customHeight="1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4.25" customHeight="1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4.25" customHeight="1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4.25" customHeight="1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4.25" customHeight="1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4.25" customHeight="1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4.25" customHeight="1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4.25" customHeight="1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4.25" customHeight="1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4.25" customHeight="1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4.25" customHeight="1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4.25" customHeight="1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4.25" customHeight="1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4.25" customHeight="1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4.25" customHeight="1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4.25" customHeight="1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4.25" customHeight="1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4.25" customHeight="1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4.25" customHeight="1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4.25" customHeight="1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4.25" customHeight="1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4.25" customHeight="1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4.25" customHeight="1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4.25" customHeight="1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4.25" customHeight="1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4.25" customHeight="1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4.25" customHeight="1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4.25" customHeight="1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4.25" customHeight="1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4.25" customHeight="1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4.25" customHeight="1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4.25" customHeight="1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4.25" customHeight="1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4.25" customHeight="1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4.25" customHeight="1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4.25" customHeight="1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4.25" customHeight="1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4.25" customHeight="1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4.25" customHeight="1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4.25" customHeight="1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4.25" customHeight="1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4.25" customHeight="1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4.25" customHeight="1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4.25" customHeight="1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4.25" customHeight="1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4.25" customHeight="1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4.25" customHeight="1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4.25" customHeight="1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4.25" customHeight="1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4.25" customHeight="1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4.25" customHeight="1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4.25" customHeight="1" x14ac:dyDescent="0.2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4.25" customHeight="1" x14ac:dyDescent="0.25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4.25" customHeight="1" x14ac:dyDescent="0.25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4.25" customHeight="1" x14ac:dyDescent="0.25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4.25" customHeight="1" x14ac:dyDescent="0.25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4.25" customHeight="1" x14ac:dyDescent="0.25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4.25" customHeight="1" x14ac:dyDescent="0.25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4.25" customHeight="1" x14ac:dyDescent="0.25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4.25" customHeight="1" x14ac:dyDescent="0.25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4.25" customHeight="1" x14ac:dyDescent="0.25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4.25" customHeight="1" x14ac:dyDescent="0.2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4.25" customHeight="1" x14ac:dyDescent="0.25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4.25" customHeight="1" x14ac:dyDescent="0.25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4.25" customHeight="1" x14ac:dyDescent="0.25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4.25" customHeight="1" x14ac:dyDescent="0.25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4.25" customHeight="1" x14ac:dyDescent="0.25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4.25" customHeight="1" x14ac:dyDescent="0.25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4.25" customHeight="1" x14ac:dyDescent="0.25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4.25" customHeight="1" x14ac:dyDescent="0.25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4.25" customHeight="1" x14ac:dyDescent="0.25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4.25" customHeight="1" x14ac:dyDescent="0.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4.25" customHeight="1" x14ac:dyDescent="0.25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4.25" customHeight="1" x14ac:dyDescent="0.25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4.25" customHeight="1" x14ac:dyDescent="0.25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4.25" customHeight="1" x14ac:dyDescent="0.25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4.25" customHeight="1" x14ac:dyDescent="0.25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4.25" customHeight="1" x14ac:dyDescent="0.25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4.25" customHeight="1" x14ac:dyDescent="0.25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4.25" customHeight="1" x14ac:dyDescent="0.25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4.25" customHeight="1" x14ac:dyDescent="0.25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4.25" customHeight="1" x14ac:dyDescent="0.2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4.25" customHeight="1" x14ac:dyDescent="0.25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4.25" customHeight="1" x14ac:dyDescent="0.25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4.25" customHeight="1" x14ac:dyDescent="0.25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4.25" customHeight="1" x14ac:dyDescent="0.25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4.25" customHeight="1" x14ac:dyDescent="0.25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4.25" customHeight="1" x14ac:dyDescent="0.25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4.25" customHeight="1" x14ac:dyDescent="0.25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4.25" customHeight="1" x14ac:dyDescent="0.25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4.25" customHeight="1" x14ac:dyDescent="0.25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4.25" customHeight="1" x14ac:dyDescent="0.2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4.25" customHeight="1" x14ac:dyDescent="0.25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4.25" customHeight="1" x14ac:dyDescent="0.25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4.25" customHeight="1" x14ac:dyDescent="0.25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4.25" customHeight="1" x14ac:dyDescent="0.25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4.25" customHeight="1" x14ac:dyDescent="0.25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4.25" customHeight="1" x14ac:dyDescent="0.25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4.25" customHeight="1" x14ac:dyDescent="0.25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4.25" customHeight="1" x14ac:dyDescent="0.25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4.25" customHeight="1" x14ac:dyDescent="0.25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4.25" customHeight="1" x14ac:dyDescent="0.2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4.25" customHeight="1" x14ac:dyDescent="0.25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4.25" customHeight="1" x14ac:dyDescent="0.25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4.25" customHeight="1" x14ac:dyDescent="0.25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4.25" customHeight="1" x14ac:dyDescent="0.25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4.25" customHeight="1" x14ac:dyDescent="0.25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4.25" customHeight="1" x14ac:dyDescent="0.25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4.25" customHeight="1" x14ac:dyDescent="0.25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4.25" customHeight="1" x14ac:dyDescent="0.25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4.25" customHeight="1" x14ac:dyDescent="0.25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4.25" customHeight="1" x14ac:dyDescent="0.2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4.25" customHeight="1" x14ac:dyDescent="0.25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4.25" customHeight="1" x14ac:dyDescent="0.25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4.25" customHeight="1" x14ac:dyDescent="0.25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4.25" customHeight="1" x14ac:dyDescent="0.25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4.25" customHeight="1" x14ac:dyDescent="0.25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4.25" customHeight="1" x14ac:dyDescent="0.25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4.25" customHeight="1" x14ac:dyDescent="0.25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4.25" customHeight="1" x14ac:dyDescent="0.25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4.25" customHeight="1" x14ac:dyDescent="0.25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4.25" customHeight="1" x14ac:dyDescent="0.2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4.25" customHeight="1" x14ac:dyDescent="0.25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4.25" customHeight="1" x14ac:dyDescent="0.25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4.25" customHeight="1" x14ac:dyDescent="0.25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4.25" customHeight="1" x14ac:dyDescent="0.25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4.25" customHeight="1" x14ac:dyDescent="0.25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4.25" customHeight="1" x14ac:dyDescent="0.25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4.25" customHeight="1" x14ac:dyDescent="0.25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4.25" customHeight="1" x14ac:dyDescent="0.25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4.25" customHeight="1" x14ac:dyDescent="0.25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4.25" customHeight="1" x14ac:dyDescent="0.2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4.25" customHeight="1" x14ac:dyDescent="0.25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4.25" customHeight="1" x14ac:dyDescent="0.25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4.25" customHeight="1" x14ac:dyDescent="0.25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4.25" customHeight="1" x14ac:dyDescent="0.25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4.25" customHeight="1" x14ac:dyDescent="0.25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4.25" customHeight="1" x14ac:dyDescent="0.25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4.25" customHeight="1" x14ac:dyDescent="0.25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4.25" customHeight="1" x14ac:dyDescent="0.25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4.25" customHeight="1" x14ac:dyDescent="0.25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4.25" customHeight="1" x14ac:dyDescent="0.2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4.25" customHeight="1" x14ac:dyDescent="0.25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4.25" customHeight="1" x14ac:dyDescent="0.25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4.25" customHeight="1" x14ac:dyDescent="0.25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4.25" customHeight="1" x14ac:dyDescent="0.25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4.25" customHeight="1" x14ac:dyDescent="0.25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4.25" customHeight="1" x14ac:dyDescent="0.25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4.25" customHeight="1" x14ac:dyDescent="0.25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4.25" customHeight="1" x14ac:dyDescent="0.25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4.25" customHeight="1" x14ac:dyDescent="0.25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4.25" customHeight="1" x14ac:dyDescent="0.2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4.25" customHeight="1" x14ac:dyDescent="0.25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4.25" customHeight="1" x14ac:dyDescent="0.25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4.25" customHeight="1" x14ac:dyDescent="0.25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4.25" customHeight="1" x14ac:dyDescent="0.25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4.25" customHeight="1" x14ac:dyDescent="0.25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4.25" customHeight="1" x14ac:dyDescent="0.25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4.25" customHeight="1" x14ac:dyDescent="0.25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4.25" customHeight="1" x14ac:dyDescent="0.25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4.25" customHeight="1" x14ac:dyDescent="0.25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4.25" customHeight="1" x14ac:dyDescent="0.2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4.25" customHeight="1" x14ac:dyDescent="0.25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4.25" customHeight="1" x14ac:dyDescent="0.25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4.25" customHeight="1" x14ac:dyDescent="0.25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4.25" customHeight="1" x14ac:dyDescent="0.25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4.25" customHeight="1" x14ac:dyDescent="0.25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4.25" customHeight="1" x14ac:dyDescent="0.25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4.25" customHeight="1" x14ac:dyDescent="0.25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4.25" customHeight="1" x14ac:dyDescent="0.25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4.25" customHeight="1" x14ac:dyDescent="0.25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4.25" customHeight="1" x14ac:dyDescent="0.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4.25" customHeight="1" x14ac:dyDescent="0.25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4.25" customHeight="1" x14ac:dyDescent="0.25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4.25" customHeight="1" x14ac:dyDescent="0.25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4.25" customHeight="1" x14ac:dyDescent="0.25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4.25" customHeight="1" x14ac:dyDescent="0.25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4.25" customHeight="1" x14ac:dyDescent="0.25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4.25" customHeight="1" x14ac:dyDescent="0.25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4.25" customHeight="1" x14ac:dyDescent="0.25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4.25" customHeight="1" x14ac:dyDescent="0.25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4.25" customHeight="1" x14ac:dyDescent="0.2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4.25" customHeight="1" x14ac:dyDescent="0.25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4.25" customHeight="1" x14ac:dyDescent="0.25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4.25" customHeight="1" x14ac:dyDescent="0.25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4.25" customHeight="1" x14ac:dyDescent="0.25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4.25" customHeight="1" x14ac:dyDescent="0.25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4.25" customHeight="1" x14ac:dyDescent="0.25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4.25" customHeight="1" x14ac:dyDescent="0.25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4.25" customHeight="1" x14ac:dyDescent="0.25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4.25" customHeight="1" x14ac:dyDescent="0.25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4.25" customHeight="1" x14ac:dyDescent="0.2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4.25" customHeight="1" x14ac:dyDescent="0.25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4.25" customHeight="1" x14ac:dyDescent="0.25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4.25" customHeight="1" x14ac:dyDescent="0.25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4.25" customHeight="1" x14ac:dyDescent="0.25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4.25" customHeight="1" x14ac:dyDescent="0.25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4.25" customHeight="1" x14ac:dyDescent="0.25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4.25" customHeight="1" x14ac:dyDescent="0.25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4.25" customHeight="1" x14ac:dyDescent="0.25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4.25" customHeight="1" x14ac:dyDescent="0.25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4.25" customHeight="1" x14ac:dyDescent="0.2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4.25" customHeight="1" x14ac:dyDescent="0.25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4.25" customHeight="1" x14ac:dyDescent="0.25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4.25" customHeight="1" x14ac:dyDescent="0.25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4.25" customHeight="1" x14ac:dyDescent="0.25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4.25" customHeight="1" x14ac:dyDescent="0.25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4.25" customHeight="1" x14ac:dyDescent="0.25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4.25" customHeight="1" x14ac:dyDescent="0.25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4.25" customHeight="1" x14ac:dyDescent="0.25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4.25" customHeight="1" x14ac:dyDescent="0.25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4.25" customHeight="1" x14ac:dyDescent="0.2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4.25" customHeight="1" x14ac:dyDescent="0.25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4.25" customHeight="1" x14ac:dyDescent="0.25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4.25" customHeight="1" x14ac:dyDescent="0.25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4.25" customHeight="1" x14ac:dyDescent="0.25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4.25" customHeight="1" x14ac:dyDescent="0.25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4.25" customHeight="1" x14ac:dyDescent="0.25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4.25" customHeight="1" x14ac:dyDescent="0.25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4.25" customHeight="1" x14ac:dyDescent="0.25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4.25" customHeight="1" x14ac:dyDescent="0.25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4.25" customHeight="1" x14ac:dyDescent="0.2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4.25" customHeight="1" x14ac:dyDescent="0.25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4.25" customHeight="1" x14ac:dyDescent="0.25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4.25" customHeight="1" x14ac:dyDescent="0.25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4.25" customHeight="1" x14ac:dyDescent="0.25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4.25" customHeight="1" x14ac:dyDescent="0.25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4.25" customHeight="1" x14ac:dyDescent="0.25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4.25" customHeight="1" x14ac:dyDescent="0.25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4.25" customHeight="1" x14ac:dyDescent="0.25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4.25" customHeight="1" x14ac:dyDescent="0.25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4.25" customHeight="1" x14ac:dyDescent="0.2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4.25" customHeight="1" x14ac:dyDescent="0.25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4.25" customHeight="1" x14ac:dyDescent="0.25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4.25" customHeight="1" x14ac:dyDescent="0.25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4.25" customHeight="1" x14ac:dyDescent="0.25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4.25" customHeight="1" x14ac:dyDescent="0.25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4.25" customHeight="1" x14ac:dyDescent="0.25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4.25" customHeight="1" x14ac:dyDescent="0.25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4.25" customHeight="1" x14ac:dyDescent="0.25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4.25" customHeight="1" x14ac:dyDescent="0.25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4.25" customHeight="1" x14ac:dyDescent="0.2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4.25" customHeight="1" x14ac:dyDescent="0.25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4.25" customHeight="1" x14ac:dyDescent="0.25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4.25" customHeight="1" x14ac:dyDescent="0.25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4.25" customHeight="1" x14ac:dyDescent="0.25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4.25" customHeight="1" x14ac:dyDescent="0.25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4.25" customHeight="1" x14ac:dyDescent="0.25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4.25" customHeight="1" x14ac:dyDescent="0.25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4.25" customHeight="1" x14ac:dyDescent="0.25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4.25" customHeight="1" x14ac:dyDescent="0.25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4.25" customHeight="1" x14ac:dyDescent="0.2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4.25" customHeight="1" x14ac:dyDescent="0.25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4.25" customHeight="1" x14ac:dyDescent="0.25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4.25" customHeight="1" x14ac:dyDescent="0.25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4.25" customHeight="1" x14ac:dyDescent="0.25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4.25" customHeight="1" x14ac:dyDescent="0.25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4.25" customHeight="1" x14ac:dyDescent="0.25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4.25" customHeight="1" x14ac:dyDescent="0.25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4.25" customHeight="1" x14ac:dyDescent="0.25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4.25" customHeight="1" x14ac:dyDescent="0.25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4.25" customHeight="1" x14ac:dyDescent="0.2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4.25" customHeight="1" x14ac:dyDescent="0.25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4.25" customHeight="1" x14ac:dyDescent="0.25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4.25" customHeight="1" x14ac:dyDescent="0.25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4.25" customHeight="1" x14ac:dyDescent="0.25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4.25" customHeight="1" x14ac:dyDescent="0.25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4.25" customHeight="1" x14ac:dyDescent="0.25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4.25" customHeight="1" x14ac:dyDescent="0.25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4.25" customHeight="1" x14ac:dyDescent="0.25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4.25" customHeight="1" x14ac:dyDescent="0.25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4.25" customHeight="1" x14ac:dyDescent="0.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4.25" customHeight="1" x14ac:dyDescent="0.25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4.25" customHeight="1" x14ac:dyDescent="0.25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4.25" customHeight="1" x14ac:dyDescent="0.25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4.25" customHeight="1" x14ac:dyDescent="0.25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4.25" customHeight="1" x14ac:dyDescent="0.25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4.25" customHeight="1" x14ac:dyDescent="0.25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4.25" customHeight="1" x14ac:dyDescent="0.25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4.25" customHeight="1" x14ac:dyDescent="0.25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4.25" customHeight="1" x14ac:dyDescent="0.25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4.25" customHeight="1" x14ac:dyDescent="0.2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4.25" customHeight="1" x14ac:dyDescent="0.25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4.25" customHeight="1" x14ac:dyDescent="0.25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4.25" customHeight="1" x14ac:dyDescent="0.25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4.25" customHeight="1" x14ac:dyDescent="0.25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4.25" customHeight="1" x14ac:dyDescent="0.25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4.25" customHeight="1" x14ac:dyDescent="0.25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4.25" customHeight="1" x14ac:dyDescent="0.25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4.25" customHeight="1" x14ac:dyDescent="0.25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4.25" customHeight="1" x14ac:dyDescent="0.25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4.25" customHeight="1" x14ac:dyDescent="0.2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4.25" customHeight="1" x14ac:dyDescent="0.25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4.25" customHeight="1" x14ac:dyDescent="0.25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4.25" customHeight="1" x14ac:dyDescent="0.25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4.25" customHeight="1" x14ac:dyDescent="0.25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4.25" customHeight="1" x14ac:dyDescent="0.25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4.25" customHeight="1" x14ac:dyDescent="0.25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4.25" customHeight="1" x14ac:dyDescent="0.25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4.25" customHeight="1" x14ac:dyDescent="0.25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4.25" customHeight="1" x14ac:dyDescent="0.25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4.25" customHeight="1" x14ac:dyDescent="0.2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4.25" customHeight="1" x14ac:dyDescent="0.25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4.25" customHeight="1" x14ac:dyDescent="0.25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4.25" customHeight="1" x14ac:dyDescent="0.25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4.25" customHeight="1" x14ac:dyDescent="0.25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4.25" customHeight="1" x14ac:dyDescent="0.25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4.25" customHeight="1" x14ac:dyDescent="0.25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4.25" customHeight="1" x14ac:dyDescent="0.25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4.25" customHeight="1" x14ac:dyDescent="0.25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4.25" customHeight="1" x14ac:dyDescent="0.25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4.25" customHeight="1" x14ac:dyDescent="0.2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4.25" customHeight="1" x14ac:dyDescent="0.25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4.25" customHeight="1" x14ac:dyDescent="0.25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4.25" customHeight="1" x14ac:dyDescent="0.25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4.25" customHeight="1" x14ac:dyDescent="0.25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4.25" customHeight="1" x14ac:dyDescent="0.25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4.25" customHeight="1" x14ac:dyDescent="0.25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4.25" customHeight="1" x14ac:dyDescent="0.25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4.25" customHeight="1" x14ac:dyDescent="0.25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4.25" customHeight="1" x14ac:dyDescent="0.25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4.25" customHeight="1" x14ac:dyDescent="0.2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4.25" customHeight="1" x14ac:dyDescent="0.25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4.25" customHeight="1" x14ac:dyDescent="0.25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4.25" customHeight="1" x14ac:dyDescent="0.25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4.25" customHeight="1" x14ac:dyDescent="0.25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4.25" customHeight="1" x14ac:dyDescent="0.25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4.25" customHeight="1" x14ac:dyDescent="0.25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4.25" customHeight="1" x14ac:dyDescent="0.25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4.25" customHeight="1" x14ac:dyDescent="0.25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4.25" customHeight="1" x14ac:dyDescent="0.25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4.25" customHeight="1" x14ac:dyDescent="0.2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4.25" customHeight="1" x14ac:dyDescent="0.25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4.25" customHeight="1" x14ac:dyDescent="0.25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4.25" customHeight="1" x14ac:dyDescent="0.25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4.25" customHeight="1" x14ac:dyDescent="0.25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4.25" customHeight="1" x14ac:dyDescent="0.25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4.25" customHeight="1" x14ac:dyDescent="0.25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4.25" customHeight="1" x14ac:dyDescent="0.25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4.25" customHeight="1" x14ac:dyDescent="0.25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4.25" customHeight="1" x14ac:dyDescent="0.25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4.25" customHeight="1" x14ac:dyDescent="0.2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4.25" customHeight="1" x14ac:dyDescent="0.25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4.25" customHeight="1" x14ac:dyDescent="0.25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4.25" customHeight="1" x14ac:dyDescent="0.25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4.25" customHeight="1" x14ac:dyDescent="0.25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4.25" customHeight="1" x14ac:dyDescent="0.25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4.25" customHeight="1" x14ac:dyDescent="0.25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4.25" customHeight="1" x14ac:dyDescent="0.25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4.25" customHeight="1" x14ac:dyDescent="0.25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4.25" customHeight="1" x14ac:dyDescent="0.25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4.25" customHeight="1" x14ac:dyDescent="0.2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4.25" customHeight="1" x14ac:dyDescent="0.25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4.25" customHeight="1" x14ac:dyDescent="0.25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4.25" customHeight="1" x14ac:dyDescent="0.25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4.25" customHeight="1" x14ac:dyDescent="0.25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4.25" customHeight="1" x14ac:dyDescent="0.25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4.25" customHeight="1" x14ac:dyDescent="0.25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4.25" customHeight="1" x14ac:dyDescent="0.25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4.25" customHeight="1" x14ac:dyDescent="0.25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4.25" customHeight="1" x14ac:dyDescent="0.25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4.25" customHeight="1" x14ac:dyDescent="0.2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4.25" customHeight="1" x14ac:dyDescent="0.25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4.25" customHeight="1" x14ac:dyDescent="0.25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4.25" customHeight="1" x14ac:dyDescent="0.25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4.25" customHeight="1" x14ac:dyDescent="0.25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4.25" customHeight="1" x14ac:dyDescent="0.25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4.25" customHeight="1" x14ac:dyDescent="0.25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4.25" customHeight="1" x14ac:dyDescent="0.25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4.25" customHeight="1" x14ac:dyDescent="0.25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4.25" customHeight="1" x14ac:dyDescent="0.25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4.25" customHeight="1" x14ac:dyDescent="0.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4.25" customHeight="1" x14ac:dyDescent="0.25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4.25" customHeight="1" x14ac:dyDescent="0.25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4.25" customHeight="1" x14ac:dyDescent="0.25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4.25" customHeight="1" x14ac:dyDescent="0.25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4.25" customHeight="1" x14ac:dyDescent="0.25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4.25" customHeight="1" x14ac:dyDescent="0.25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4.25" customHeight="1" x14ac:dyDescent="0.25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4.25" customHeight="1" x14ac:dyDescent="0.25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4.25" customHeight="1" x14ac:dyDescent="0.25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4.25" customHeight="1" x14ac:dyDescent="0.2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4.25" customHeight="1" x14ac:dyDescent="0.25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4.25" customHeight="1" x14ac:dyDescent="0.25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4.25" customHeight="1" x14ac:dyDescent="0.25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4.25" customHeight="1" x14ac:dyDescent="0.25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4.25" customHeight="1" x14ac:dyDescent="0.25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4.25" customHeight="1" x14ac:dyDescent="0.25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4.25" customHeight="1" x14ac:dyDescent="0.25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4.25" customHeight="1" x14ac:dyDescent="0.25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4.25" customHeight="1" x14ac:dyDescent="0.25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4.25" customHeight="1" x14ac:dyDescent="0.2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4.25" customHeight="1" x14ac:dyDescent="0.25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4.25" customHeight="1" x14ac:dyDescent="0.25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4.25" customHeight="1" x14ac:dyDescent="0.25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4.25" customHeight="1" x14ac:dyDescent="0.25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4.25" customHeight="1" x14ac:dyDescent="0.25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4.25" customHeight="1" x14ac:dyDescent="0.25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4.25" customHeight="1" x14ac:dyDescent="0.25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4.25" customHeight="1" x14ac:dyDescent="0.25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4.25" customHeight="1" x14ac:dyDescent="0.25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4.25" customHeight="1" x14ac:dyDescent="0.2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4.25" customHeight="1" x14ac:dyDescent="0.25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4.25" customHeight="1" x14ac:dyDescent="0.25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4.25" customHeight="1" x14ac:dyDescent="0.25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4.25" customHeight="1" x14ac:dyDescent="0.25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4.25" customHeight="1" x14ac:dyDescent="0.25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4.25" customHeight="1" x14ac:dyDescent="0.25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4.25" customHeight="1" x14ac:dyDescent="0.25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4.25" customHeight="1" x14ac:dyDescent="0.25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4.25" customHeight="1" x14ac:dyDescent="0.25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4.25" customHeight="1" x14ac:dyDescent="0.2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4.25" customHeight="1" x14ac:dyDescent="0.25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4.25" customHeight="1" x14ac:dyDescent="0.25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4.25" customHeight="1" x14ac:dyDescent="0.25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4.25" customHeight="1" x14ac:dyDescent="0.25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4.25" customHeight="1" x14ac:dyDescent="0.25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4.25" customHeight="1" x14ac:dyDescent="0.25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4.25" customHeight="1" x14ac:dyDescent="0.25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4.25" customHeight="1" x14ac:dyDescent="0.25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4.25" customHeight="1" x14ac:dyDescent="0.25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4.25" customHeight="1" x14ac:dyDescent="0.2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4.25" customHeight="1" x14ac:dyDescent="0.25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4.25" customHeight="1" x14ac:dyDescent="0.25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4.25" customHeight="1" x14ac:dyDescent="0.25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4.25" customHeight="1" x14ac:dyDescent="0.25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4.25" customHeight="1" x14ac:dyDescent="0.25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4.25" customHeight="1" x14ac:dyDescent="0.25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4.25" customHeight="1" x14ac:dyDescent="0.25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4.25" customHeight="1" x14ac:dyDescent="0.25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4.25" customHeight="1" x14ac:dyDescent="0.25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4.25" customHeight="1" x14ac:dyDescent="0.2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4.25" customHeight="1" x14ac:dyDescent="0.25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4.25" customHeight="1" x14ac:dyDescent="0.25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4.25" customHeight="1" x14ac:dyDescent="0.25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4.25" customHeight="1" x14ac:dyDescent="0.25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4.25" customHeight="1" x14ac:dyDescent="0.25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4.25" customHeight="1" x14ac:dyDescent="0.25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4.25" customHeight="1" x14ac:dyDescent="0.25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4.25" customHeight="1" x14ac:dyDescent="0.25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4.25" customHeight="1" x14ac:dyDescent="0.25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4.25" customHeight="1" x14ac:dyDescent="0.2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4.25" customHeight="1" x14ac:dyDescent="0.25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4.25" customHeight="1" x14ac:dyDescent="0.25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4.25" customHeight="1" x14ac:dyDescent="0.25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4.25" customHeight="1" x14ac:dyDescent="0.25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4.25" customHeight="1" x14ac:dyDescent="0.25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4.25" customHeight="1" x14ac:dyDescent="0.25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4.25" customHeight="1" x14ac:dyDescent="0.25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4.25" customHeight="1" x14ac:dyDescent="0.25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4.25" customHeight="1" x14ac:dyDescent="0.25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4.25" customHeight="1" x14ac:dyDescent="0.2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4.25" customHeight="1" x14ac:dyDescent="0.25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4.25" customHeight="1" x14ac:dyDescent="0.25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4.25" customHeight="1" x14ac:dyDescent="0.25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4.25" customHeight="1" x14ac:dyDescent="0.25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4.25" customHeight="1" x14ac:dyDescent="0.25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4.25" customHeight="1" x14ac:dyDescent="0.25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4.25" customHeight="1" x14ac:dyDescent="0.25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4.25" customHeight="1" x14ac:dyDescent="0.25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4.25" customHeight="1" x14ac:dyDescent="0.25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4.25" customHeight="1" x14ac:dyDescent="0.2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4.25" customHeight="1" x14ac:dyDescent="0.25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4.25" customHeight="1" x14ac:dyDescent="0.25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4.25" customHeight="1" x14ac:dyDescent="0.25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4.25" customHeight="1" x14ac:dyDescent="0.25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4.25" customHeight="1" x14ac:dyDescent="0.25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4.25" customHeight="1" x14ac:dyDescent="0.25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4.25" customHeight="1" x14ac:dyDescent="0.25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4.25" customHeight="1" x14ac:dyDescent="0.25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4.25" customHeight="1" x14ac:dyDescent="0.25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4.25" customHeight="1" x14ac:dyDescent="0.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4.25" customHeight="1" x14ac:dyDescent="0.25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4.25" customHeight="1" x14ac:dyDescent="0.25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4.25" customHeight="1" x14ac:dyDescent="0.25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4.25" customHeight="1" x14ac:dyDescent="0.25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4.25" customHeight="1" x14ac:dyDescent="0.25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4.25" customHeight="1" x14ac:dyDescent="0.25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4.25" customHeight="1" x14ac:dyDescent="0.25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4.25" customHeight="1" x14ac:dyDescent="0.25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4.25" customHeight="1" x14ac:dyDescent="0.25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4.25" customHeight="1" x14ac:dyDescent="0.2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4.25" customHeight="1" x14ac:dyDescent="0.25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4.25" customHeight="1" x14ac:dyDescent="0.25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4.25" customHeight="1" x14ac:dyDescent="0.25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4.25" customHeight="1" x14ac:dyDescent="0.25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4.25" customHeight="1" x14ac:dyDescent="0.25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4.25" customHeight="1" x14ac:dyDescent="0.25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4.25" customHeight="1" x14ac:dyDescent="0.25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4.25" customHeight="1" x14ac:dyDescent="0.25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4.25" customHeight="1" x14ac:dyDescent="0.25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4.25" customHeight="1" x14ac:dyDescent="0.2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4.25" customHeight="1" x14ac:dyDescent="0.25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4.25" customHeight="1" x14ac:dyDescent="0.25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4.25" customHeight="1" x14ac:dyDescent="0.25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4.25" customHeight="1" x14ac:dyDescent="0.25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4.25" customHeight="1" x14ac:dyDescent="0.25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4.25" customHeight="1" x14ac:dyDescent="0.25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4.25" customHeight="1" x14ac:dyDescent="0.25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4.25" customHeight="1" x14ac:dyDescent="0.25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4.25" customHeight="1" x14ac:dyDescent="0.25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4.25" customHeight="1" x14ac:dyDescent="0.2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4.25" customHeight="1" x14ac:dyDescent="0.25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4.25" customHeight="1" x14ac:dyDescent="0.25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4.25" customHeight="1" x14ac:dyDescent="0.25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4.25" customHeight="1" x14ac:dyDescent="0.25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4.25" customHeight="1" x14ac:dyDescent="0.25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4.25" customHeight="1" x14ac:dyDescent="0.25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4.25" customHeight="1" x14ac:dyDescent="0.25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4.25" customHeight="1" x14ac:dyDescent="0.25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4.25" customHeight="1" x14ac:dyDescent="0.25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4.25" customHeight="1" x14ac:dyDescent="0.2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4.25" customHeight="1" x14ac:dyDescent="0.25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4.25" customHeight="1" x14ac:dyDescent="0.25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4.25" customHeight="1" x14ac:dyDescent="0.25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4.25" customHeight="1" x14ac:dyDescent="0.25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4.25" customHeight="1" x14ac:dyDescent="0.25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4.25" customHeight="1" x14ac:dyDescent="0.25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4.25" customHeight="1" x14ac:dyDescent="0.25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4.25" customHeight="1" x14ac:dyDescent="0.25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4.25" customHeight="1" x14ac:dyDescent="0.25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4.25" customHeight="1" x14ac:dyDescent="0.2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4.25" customHeight="1" x14ac:dyDescent="0.25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4.25" customHeight="1" x14ac:dyDescent="0.25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4.25" customHeight="1" x14ac:dyDescent="0.25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4.25" customHeight="1" x14ac:dyDescent="0.25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4.25" customHeight="1" x14ac:dyDescent="0.25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4.25" customHeight="1" x14ac:dyDescent="0.25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4.25" customHeight="1" x14ac:dyDescent="0.25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4.25" customHeight="1" x14ac:dyDescent="0.25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4.25" customHeight="1" x14ac:dyDescent="0.25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4.25" customHeight="1" x14ac:dyDescent="0.2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4.25" customHeight="1" x14ac:dyDescent="0.25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4.25" customHeight="1" x14ac:dyDescent="0.25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4.25" customHeight="1" x14ac:dyDescent="0.25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4.25" customHeight="1" x14ac:dyDescent="0.25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4.25" customHeight="1" x14ac:dyDescent="0.25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4.25" customHeight="1" x14ac:dyDescent="0.25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4.25" customHeight="1" x14ac:dyDescent="0.25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4.25" customHeight="1" x14ac:dyDescent="0.25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4.25" customHeight="1" x14ac:dyDescent="0.25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4.25" customHeight="1" x14ac:dyDescent="0.2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4.25" customHeight="1" x14ac:dyDescent="0.25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4.25" customHeight="1" x14ac:dyDescent="0.25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4.25" customHeight="1" x14ac:dyDescent="0.25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4.25" customHeight="1" x14ac:dyDescent="0.25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4.25" customHeight="1" x14ac:dyDescent="0.25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4.25" customHeight="1" x14ac:dyDescent="0.25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4.25" customHeight="1" x14ac:dyDescent="0.25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4.25" customHeight="1" x14ac:dyDescent="0.25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4.25" customHeight="1" x14ac:dyDescent="0.25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4.25" customHeight="1" x14ac:dyDescent="0.2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4.25" customHeight="1" x14ac:dyDescent="0.25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4.25" customHeight="1" x14ac:dyDescent="0.25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4.25" customHeight="1" x14ac:dyDescent="0.25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4.25" customHeight="1" x14ac:dyDescent="0.25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4.25" customHeight="1" x14ac:dyDescent="0.25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4.25" customHeight="1" x14ac:dyDescent="0.25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4.25" customHeight="1" x14ac:dyDescent="0.25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4.25" customHeight="1" x14ac:dyDescent="0.25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4.25" customHeight="1" x14ac:dyDescent="0.25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4.25" customHeight="1" x14ac:dyDescent="0.2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4.25" customHeight="1" x14ac:dyDescent="0.25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4.25" customHeight="1" x14ac:dyDescent="0.25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4.25" customHeight="1" x14ac:dyDescent="0.25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4.25" customHeight="1" x14ac:dyDescent="0.25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4.25" customHeight="1" x14ac:dyDescent="0.25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4.25" customHeight="1" x14ac:dyDescent="0.25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4.25" customHeight="1" x14ac:dyDescent="0.25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4.25" customHeight="1" x14ac:dyDescent="0.25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4.25" customHeight="1" x14ac:dyDescent="0.25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4.25" customHeight="1" x14ac:dyDescent="0.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4.25" customHeight="1" x14ac:dyDescent="0.25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4.25" customHeight="1" x14ac:dyDescent="0.25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4.25" customHeight="1" x14ac:dyDescent="0.25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4.25" customHeight="1" x14ac:dyDescent="0.25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4.25" customHeight="1" x14ac:dyDescent="0.25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4.25" customHeight="1" x14ac:dyDescent="0.25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4.25" customHeight="1" x14ac:dyDescent="0.25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4.25" customHeight="1" x14ac:dyDescent="0.25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4.25" customHeight="1" x14ac:dyDescent="0.25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4.25" customHeight="1" x14ac:dyDescent="0.2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4.25" customHeight="1" x14ac:dyDescent="0.25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4.25" customHeight="1" x14ac:dyDescent="0.25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4.25" customHeight="1" x14ac:dyDescent="0.25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4.25" customHeight="1" x14ac:dyDescent="0.25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4.25" customHeight="1" x14ac:dyDescent="0.25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4.25" customHeight="1" x14ac:dyDescent="0.25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4.25" customHeight="1" x14ac:dyDescent="0.25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4.25" customHeight="1" x14ac:dyDescent="0.25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4.25" customHeight="1" x14ac:dyDescent="0.25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4.25" customHeight="1" x14ac:dyDescent="0.2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4.25" customHeight="1" x14ac:dyDescent="0.25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4.25" customHeight="1" x14ac:dyDescent="0.25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4.25" customHeight="1" x14ac:dyDescent="0.25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4.25" customHeight="1" x14ac:dyDescent="0.25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4.25" customHeight="1" x14ac:dyDescent="0.25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4.25" customHeight="1" x14ac:dyDescent="0.25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4.25" customHeight="1" x14ac:dyDescent="0.25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4.25" customHeight="1" x14ac:dyDescent="0.25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4.25" customHeight="1" x14ac:dyDescent="0.25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4.25" customHeight="1" x14ac:dyDescent="0.2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4.25" customHeight="1" x14ac:dyDescent="0.25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4.25" customHeight="1" x14ac:dyDescent="0.25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4.25" customHeight="1" x14ac:dyDescent="0.25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4.25" customHeight="1" x14ac:dyDescent="0.25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4.25" customHeight="1" x14ac:dyDescent="0.25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4.25" customHeight="1" x14ac:dyDescent="0.25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4.25" customHeight="1" x14ac:dyDescent="0.25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4.25" customHeight="1" x14ac:dyDescent="0.25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4.25" customHeight="1" x14ac:dyDescent="0.25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4.25" customHeight="1" x14ac:dyDescent="0.2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4.25" customHeight="1" x14ac:dyDescent="0.25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4.25" customHeight="1" x14ac:dyDescent="0.25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4.25" customHeight="1" x14ac:dyDescent="0.25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4.25" customHeight="1" x14ac:dyDescent="0.25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4.25" customHeight="1" x14ac:dyDescent="0.25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4.25" customHeight="1" x14ac:dyDescent="0.25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4.25" customHeight="1" x14ac:dyDescent="0.25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4.25" customHeight="1" x14ac:dyDescent="0.25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4.25" customHeight="1" x14ac:dyDescent="0.25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4.25" customHeight="1" x14ac:dyDescent="0.2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4.25" customHeight="1" x14ac:dyDescent="0.25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4.25" customHeight="1" x14ac:dyDescent="0.25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4.25" customHeight="1" x14ac:dyDescent="0.25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4.25" customHeight="1" x14ac:dyDescent="0.25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4.25" customHeight="1" x14ac:dyDescent="0.25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4.25" customHeight="1" x14ac:dyDescent="0.25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4.25" customHeight="1" x14ac:dyDescent="0.25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4.25" customHeight="1" x14ac:dyDescent="0.25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4.25" customHeight="1" x14ac:dyDescent="0.25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4.25" customHeight="1" x14ac:dyDescent="0.2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4.25" customHeight="1" x14ac:dyDescent="0.25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4.25" customHeight="1" x14ac:dyDescent="0.25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4.25" customHeight="1" x14ac:dyDescent="0.25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4.25" customHeight="1" x14ac:dyDescent="0.25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4.25" customHeight="1" x14ac:dyDescent="0.25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4.25" customHeight="1" x14ac:dyDescent="0.25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4.25" customHeight="1" x14ac:dyDescent="0.25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4.25" customHeight="1" x14ac:dyDescent="0.25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4.25" customHeight="1" x14ac:dyDescent="0.25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4.25" customHeight="1" x14ac:dyDescent="0.2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4.25" customHeight="1" x14ac:dyDescent="0.25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4.25" customHeight="1" x14ac:dyDescent="0.25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4.25" customHeight="1" x14ac:dyDescent="0.25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4.25" customHeight="1" x14ac:dyDescent="0.25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4.25" customHeight="1" x14ac:dyDescent="0.25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4.25" customHeight="1" x14ac:dyDescent="0.25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4.25" customHeight="1" x14ac:dyDescent="0.25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4.25" customHeight="1" x14ac:dyDescent="0.25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4.25" customHeight="1" x14ac:dyDescent="0.25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4.25" customHeight="1" x14ac:dyDescent="0.2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4.25" customHeight="1" x14ac:dyDescent="0.25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4.25" customHeight="1" x14ac:dyDescent="0.25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4.25" customHeight="1" x14ac:dyDescent="0.25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4.25" customHeight="1" x14ac:dyDescent="0.25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4.25" customHeight="1" x14ac:dyDescent="0.25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4.25" customHeight="1" x14ac:dyDescent="0.25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4.25" customHeight="1" x14ac:dyDescent="0.25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4.25" customHeight="1" x14ac:dyDescent="0.25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4.25" customHeight="1" x14ac:dyDescent="0.25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4.25" customHeight="1" x14ac:dyDescent="0.2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4.25" customHeight="1" x14ac:dyDescent="0.25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4.25" customHeight="1" x14ac:dyDescent="0.25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4.25" customHeight="1" x14ac:dyDescent="0.25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4.25" customHeight="1" x14ac:dyDescent="0.25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4.25" customHeight="1" x14ac:dyDescent="0.25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4.25" customHeight="1" x14ac:dyDescent="0.25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4.25" customHeight="1" x14ac:dyDescent="0.25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4.25" customHeight="1" x14ac:dyDescent="0.25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4.25" customHeight="1" x14ac:dyDescent="0.25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4.25" customHeight="1" x14ac:dyDescent="0.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4.25" customHeight="1" x14ac:dyDescent="0.25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4.25" customHeight="1" x14ac:dyDescent="0.25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4.25" customHeight="1" x14ac:dyDescent="0.25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4.25" customHeight="1" x14ac:dyDescent="0.25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4.25" customHeight="1" x14ac:dyDescent="0.25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4.25" customHeight="1" x14ac:dyDescent="0.25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4.25" customHeight="1" x14ac:dyDescent="0.25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4.25" customHeight="1" x14ac:dyDescent="0.25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4.25" customHeight="1" x14ac:dyDescent="0.25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4.25" customHeight="1" x14ac:dyDescent="0.2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4.25" customHeight="1" x14ac:dyDescent="0.25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4.25" customHeight="1" x14ac:dyDescent="0.25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4.25" customHeight="1" x14ac:dyDescent="0.25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4.25" customHeight="1" x14ac:dyDescent="0.25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4.25" customHeight="1" x14ac:dyDescent="0.25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4.25" customHeight="1" x14ac:dyDescent="0.25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4.25" customHeight="1" x14ac:dyDescent="0.25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4.25" customHeight="1" x14ac:dyDescent="0.25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4.25" customHeight="1" x14ac:dyDescent="0.25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4.25" customHeight="1" x14ac:dyDescent="0.2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4.25" customHeight="1" x14ac:dyDescent="0.25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4.25" customHeight="1" x14ac:dyDescent="0.25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4.25" customHeight="1" x14ac:dyDescent="0.25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4.25" customHeight="1" x14ac:dyDescent="0.25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4.25" customHeight="1" x14ac:dyDescent="0.25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4.25" customHeight="1" x14ac:dyDescent="0.25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4.25" customHeight="1" x14ac:dyDescent="0.25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4.25" customHeight="1" x14ac:dyDescent="0.25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4.25" customHeight="1" x14ac:dyDescent="0.25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4.25" customHeight="1" x14ac:dyDescent="0.2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4.25" customHeight="1" x14ac:dyDescent="0.25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4.25" customHeight="1" x14ac:dyDescent="0.25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4.25" customHeight="1" x14ac:dyDescent="0.25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4.25" customHeight="1" x14ac:dyDescent="0.25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4.25" customHeight="1" x14ac:dyDescent="0.25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4.25" customHeight="1" x14ac:dyDescent="0.25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4.25" customHeight="1" x14ac:dyDescent="0.25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4.25" customHeight="1" x14ac:dyDescent="0.25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4.25" customHeight="1" x14ac:dyDescent="0.25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4.25" customHeight="1" x14ac:dyDescent="0.2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4.25" customHeight="1" x14ac:dyDescent="0.25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4.25" customHeight="1" x14ac:dyDescent="0.25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4.25" customHeight="1" x14ac:dyDescent="0.25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4.25" customHeight="1" x14ac:dyDescent="0.25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4.25" customHeight="1" x14ac:dyDescent="0.25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4.25" customHeight="1" x14ac:dyDescent="0.25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4.25" customHeight="1" x14ac:dyDescent="0.25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4.25" customHeight="1" x14ac:dyDescent="0.25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4.25" customHeight="1" x14ac:dyDescent="0.25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4.25" customHeight="1" x14ac:dyDescent="0.2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4.25" customHeight="1" x14ac:dyDescent="0.25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4.25" customHeight="1" x14ac:dyDescent="0.25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4.25" customHeight="1" x14ac:dyDescent="0.25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4.25" customHeight="1" x14ac:dyDescent="0.25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4.25" customHeight="1" x14ac:dyDescent="0.25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4.25" customHeight="1" x14ac:dyDescent="0.25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4.25" customHeight="1" x14ac:dyDescent="0.25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4.25" customHeight="1" x14ac:dyDescent="0.25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4.25" customHeight="1" x14ac:dyDescent="0.25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4.25" customHeight="1" x14ac:dyDescent="0.2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4.25" customHeight="1" x14ac:dyDescent="0.25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4.25" customHeight="1" x14ac:dyDescent="0.25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4.25" customHeight="1" x14ac:dyDescent="0.25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4.25" customHeight="1" x14ac:dyDescent="0.25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4.25" customHeight="1" x14ac:dyDescent="0.25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4.25" customHeight="1" x14ac:dyDescent="0.25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4.25" customHeight="1" x14ac:dyDescent="0.25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4.25" customHeight="1" x14ac:dyDescent="0.25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4.25" customHeight="1" x14ac:dyDescent="0.25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4.25" customHeight="1" x14ac:dyDescent="0.2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4.25" customHeight="1" x14ac:dyDescent="0.25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4.25" customHeight="1" x14ac:dyDescent="0.25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4.25" customHeight="1" x14ac:dyDescent="0.25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4.25" customHeight="1" x14ac:dyDescent="0.25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4.25" customHeight="1" x14ac:dyDescent="0.25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4.25" customHeight="1" x14ac:dyDescent="0.25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4.25" customHeight="1" x14ac:dyDescent="0.25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4.25" customHeight="1" x14ac:dyDescent="0.25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4.25" customHeight="1" x14ac:dyDescent="0.25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4.25" customHeight="1" x14ac:dyDescent="0.2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4.25" customHeight="1" x14ac:dyDescent="0.25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4.25" customHeight="1" x14ac:dyDescent="0.25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4.25" customHeight="1" x14ac:dyDescent="0.25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4.25" customHeight="1" x14ac:dyDescent="0.25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4.25" customHeight="1" x14ac:dyDescent="0.25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4.25" customHeight="1" x14ac:dyDescent="0.25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4.25" customHeight="1" x14ac:dyDescent="0.25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4.25" customHeight="1" x14ac:dyDescent="0.25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4.25" customHeight="1" x14ac:dyDescent="0.25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4.25" customHeight="1" x14ac:dyDescent="0.2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4.25" customHeight="1" x14ac:dyDescent="0.25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4.25" customHeight="1" x14ac:dyDescent="0.25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4.25" customHeight="1" x14ac:dyDescent="0.25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4.25" customHeight="1" x14ac:dyDescent="0.25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4.25" customHeight="1" x14ac:dyDescent="0.25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4.25" customHeight="1" x14ac:dyDescent="0.25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4.25" customHeight="1" x14ac:dyDescent="0.25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4.25" customHeight="1" x14ac:dyDescent="0.25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4.25" customHeight="1" x14ac:dyDescent="0.25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4.25" customHeight="1" x14ac:dyDescent="0.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4.25" customHeight="1" x14ac:dyDescent="0.25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4.25" customHeight="1" x14ac:dyDescent="0.25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4.25" customHeight="1" x14ac:dyDescent="0.25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4.25" customHeight="1" x14ac:dyDescent="0.25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4.25" customHeight="1" x14ac:dyDescent="0.25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4.25" customHeight="1" x14ac:dyDescent="0.25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4.25" customHeight="1" x14ac:dyDescent="0.25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4.25" customHeight="1" x14ac:dyDescent="0.25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4.25" customHeight="1" x14ac:dyDescent="0.25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4.25" customHeight="1" x14ac:dyDescent="0.2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4.25" customHeight="1" x14ac:dyDescent="0.25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4.25" customHeight="1" x14ac:dyDescent="0.25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4.25" customHeight="1" x14ac:dyDescent="0.25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4.25" customHeight="1" x14ac:dyDescent="0.25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4.25" customHeight="1" x14ac:dyDescent="0.25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4.25" customHeight="1" x14ac:dyDescent="0.25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4.25" customHeight="1" x14ac:dyDescent="0.25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4.25" customHeight="1" x14ac:dyDescent="0.25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4.25" customHeight="1" x14ac:dyDescent="0.25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4.25" customHeight="1" x14ac:dyDescent="0.2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4.25" customHeight="1" x14ac:dyDescent="0.25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4.25" customHeight="1" x14ac:dyDescent="0.25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4.25" customHeight="1" x14ac:dyDescent="0.25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4.25" customHeight="1" x14ac:dyDescent="0.25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4.25" customHeight="1" x14ac:dyDescent="0.25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4.25" customHeight="1" x14ac:dyDescent="0.25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4.25" customHeight="1" x14ac:dyDescent="0.25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4.25" customHeight="1" x14ac:dyDescent="0.25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4.25" customHeight="1" x14ac:dyDescent="0.25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4.25" customHeight="1" x14ac:dyDescent="0.2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4.25" customHeight="1" x14ac:dyDescent="0.25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4.25" customHeight="1" x14ac:dyDescent="0.25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4.25" customHeight="1" x14ac:dyDescent="0.25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4.25" customHeight="1" x14ac:dyDescent="0.25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4.25" customHeight="1" x14ac:dyDescent="0.25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4.25" customHeight="1" x14ac:dyDescent="0.25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4.25" customHeight="1" x14ac:dyDescent="0.25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4.25" customHeight="1" x14ac:dyDescent="0.25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4.25" customHeight="1" x14ac:dyDescent="0.25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4.25" customHeight="1" x14ac:dyDescent="0.2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4.25" customHeight="1" x14ac:dyDescent="0.25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4.25" customHeight="1" x14ac:dyDescent="0.25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4.25" customHeight="1" x14ac:dyDescent="0.25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4.25" customHeight="1" x14ac:dyDescent="0.25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4.25" customHeight="1" x14ac:dyDescent="0.25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4.25" customHeight="1" x14ac:dyDescent="0.25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4.25" customHeight="1" x14ac:dyDescent="0.25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4.25" customHeight="1" x14ac:dyDescent="0.25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4.25" customHeight="1" x14ac:dyDescent="0.25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4.25" customHeight="1" x14ac:dyDescent="0.2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4.25" customHeight="1" x14ac:dyDescent="0.25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4.25" customHeight="1" x14ac:dyDescent="0.25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4.25" customHeight="1" x14ac:dyDescent="0.25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4.25" customHeight="1" x14ac:dyDescent="0.25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4.25" customHeight="1" x14ac:dyDescent="0.25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4.25" customHeight="1" x14ac:dyDescent="0.25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4.25" customHeight="1" x14ac:dyDescent="0.25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4.25" customHeight="1" x14ac:dyDescent="0.25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4.25" customHeight="1" x14ac:dyDescent="0.25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4.25" customHeight="1" x14ac:dyDescent="0.2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4.25" customHeight="1" x14ac:dyDescent="0.25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4.25" customHeight="1" x14ac:dyDescent="0.25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4.25" customHeight="1" x14ac:dyDescent="0.25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4.25" customHeight="1" x14ac:dyDescent="0.25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4.25" customHeight="1" x14ac:dyDescent="0.25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4.25" customHeight="1" x14ac:dyDescent="0.25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4.25" customHeight="1" x14ac:dyDescent="0.25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4.25" customHeight="1" x14ac:dyDescent="0.25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4.25" customHeight="1" x14ac:dyDescent="0.25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4.25" customHeight="1" x14ac:dyDescent="0.2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4.25" customHeight="1" x14ac:dyDescent="0.25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4.25" customHeight="1" x14ac:dyDescent="0.25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4.25" customHeight="1" x14ac:dyDescent="0.25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4.25" customHeight="1" x14ac:dyDescent="0.25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4.25" customHeight="1" x14ac:dyDescent="0.25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">
    <mergeCell ref="A2:C2"/>
    <mergeCell ref="A3:G3"/>
    <mergeCell ref="I3:O3"/>
    <mergeCell ref="A18:G19"/>
    <mergeCell ref="I18:O19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DATA!$H$1:$H$4</xm:f>
          </x14:formula1>
          <xm:sqref>D2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</dc:creator>
  <cp:lastModifiedBy>Chinmayi Sutar</cp:lastModifiedBy>
  <dcterms:created xsi:type="dcterms:W3CDTF">2015-06-05T18:17:20Z</dcterms:created>
  <dcterms:modified xsi:type="dcterms:W3CDTF">2026-07-12T19:05:18Z</dcterms:modified>
</cp:coreProperties>
</file>